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RDFS1\Projects\Regional Centers\7. ACRC\FY 25-26 Vendor Billing\Route Details and Toolsheet\ACRC Route Miles\Updated\"/>
    </mc:Choice>
  </mc:AlternateContent>
  <xr:revisionPtr revIDLastSave="3" documentId="8_{80372A9B-8952-47ED-82F8-A626DB97C1B0}" xr6:coauthVersionLast="47" xr6:coauthVersionMax="47" xr10:uidLastSave="{862DA7A0-7679-476E-81CA-5754A57FF609}"/>
  <bookViews>
    <workbookView xWindow="28680" yWindow="-120" windowWidth="29040" windowHeight="15840" xr2:uid="{C16980D8-BB44-4F80-83C4-6F6EFAFB5F5F}"/>
  </bookViews>
  <sheets>
    <sheet name="Route Detail" sheetId="1" r:id="rId1"/>
    <sheet name="Daily Attendance Report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9" i="1" l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C30" i="1"/>
  <c r="AH27" i="1"/>
  <c r="AH26" i="1"/>
  <c r="AH28" i="1"/>
  <c r="AH24" i="1"/>
  <c r="AH22" i="1"/>
  <c r="AH20" i="1"/>
  <c r="AH18" i="1"/>
  <c r="AH16" i="1"/>
  <c r="AH14" i="1"/>
  <c r="AH12" i="1"/>
  <c r="AH1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C51" i="1"/>
  <c r="AH29" i="1"/>
  <c r="AH25" i="1"/>
  <c r="AH23" i="1"/>
  <c r="AH21" i="1"/>
  <c r="AH19" i="1"/>
  <c r="AH17" i="1"/>
  <c r="AH15" i="1"/>
  <c r="AH13" i="1"/>
  <c r="AH11" i="1"/>
  <c r="C9" i="1"/>
  <c r="AH30" i="1" l="1"/>
  <c r="C34" i="1" s="1"/>
  <c r="C36" i="1" s="1"/>
  <c r="AA60" i="1" s="1"/>
  <c r="AO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G43" i="5"/>
  <c r="AO42" i="5" l="1"/>
  <c r="AN42" i="5"/>
  <c r="AM42" i="5"/>
  <c r="AL42" i="5"/>
  <c r="AO41" i="5"/>
  <c r="AN41" i="5"/>
  <c r="AM41" i="5"/>
  <c r="AL41" i="5"/>
  <c r="AO40" i="5"/>
  <c r="AN40" i="5"/>
  <c r="AM40" i="5"/>
  <c r="AL40" i="5"/>
  <c r="AO39" i="5"/>
  <c r="AN39" i="5"/>
  <c r="AM39" i="5"/>
  <c r="AL39" i="5"/>
  <c r="AO38" i="5"/>
  <c r="AN38" i="5"/>
  <c r="AM38" i="5"/>
  <c r="AL38" i="5"/>
  <c r="AO37" i="5"/>
  <c r="AN37" i="5"/>
  <c r="AM37" i="5"/>
  <c r="AL37" i="5"/>
  <c r="AO36" i="5"/>
  <c r="AN36" i="5"/>
  <c r="AM36" i="5"/>
  <c r="AL36" i="5"/>
  <c r="AO35" i="5"/>
  <c r="AN35" i="5"/>
  <c r="AM35" i="5"/>
  <c r="AL35" i="5"/>
  <c r="AO34" i="5"/>
  <c r="AN34" i="5"/>
  <c r="AM34" i="5"/>
  <c r="AL34" i="5"/>
  <c r="AO33" i="5"/>
  <c r="AN33" i="5"/>
  <c r="AM33" i="5"/>
  <c r="AL33" i="5"/>
  <c r="AO32" i="5"/>
  <c r="AN32" i="5"/>
  <c r="AM32" i="5"/>
  <c r="AL32" i="5"/>
  <c r="AO31" i="5"/>
  <c r="AN31" i="5"/>
  <c r="AM31" i="5"/>
  <c r="AL31" i="5"/>
  <c r="AO30" i="5"/>
  <c r="AN30" i="5"/>
  <c r="AM30" i="5"/>
  <c r="AL30" i="5"/>
  <c r="AO29" i="5"/>
  <c r="AN29" i="5"/>
  <c r="AM29" i="5"/>
  <c r="AL29" i="5"/>
  <c r="AO28" i="5"/>
  <c r="AN28" i="5"/>
  <c r="AM28" i="5"/>
  <c r="AL28" i="5"/>
  <c r="AO27" i="5"/>
  <c r="AN27" i="5"/>
  <c r="AM27" i="5"/>
  <c r="AL27" i="5"/>
  <c r="AO26" i="5"/>
  <c r="AN26" i="5"/>
  <c r="AM26" i="5"/>
  <c r="AL26" i="5"/>
  <c r="AO25" i="5"/>
  <c r="AN25" i="5"/>
  <c r="AM25" i="5"/>
  <c r="AL25" i="5"/>
  <c r="AO24" i="5"/>
  <c r="AN24" i="5"/>
  <c r="AM24" i="5"/>
  <c r="AL24" i="5"/>
  <c r="AO23" i="5"/>
  <c r="AN23" i="5"/>
  <c r="AM23" i="5"/>
  <c r="AL23" i="5"/>
  <c r="AO22" i="5"/>
  <c r="AN22" i="5"/>
  <c r="AM22" i="5"/>
  <c r="AL22" i="5"/>
  <c r="AO21" i="5"/>
  <c r="AN21" i="5"/>
  <c r="AM21" i="5"/>
  <c r="AL21" i="5"/>
  <c r="AO20" i="5"/>
  <c r="AN20" i="5"/>
  <c r="AM20" i="5"/>
  <c r="AL20" i="5"/>
  <c r="AO19" i="5"/>
  <c r="AN19" i="5"/>
  <c r="AM19" i="5"/>
  <c r="AL19" i="5"/>
  <c r="AO18" i="5"/>
  <c r="AN18" i="5"/>
  <c r="AM18" i="5"/>
  <c r="AL18" i="5"/>
  <c r="AO17" i="5"/>
  <c r="AN17" i="5"/>
  <c r="AM17" i="5"/>
  <c r="AL17" i="5"/>
  <c r="AO16" i="5"/>
  <c r="AN16" i="5"/>
  <c r="AM16" i="5"/>
  <c r="AL16" i="5"/>
  <c r="AO15" i="5"/>
  <c r="AN15" i="5"/>
  <c r="AM15" i="5"/>
  <c r="AL15" i="5"/>
  <c r="AO14" i="5"/>
  <c r="AN14" i="5"/>
  <c r="AM14" i="5"/>
  <c r="AL14" i="5"/>
  <c r="AO13" i="5"/>
  <c r="AN13" i="5"/>
  <c r="AM13" i="5"/>
  <c r="AL13" i="5"/>
  <c r="G12" i="5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H48" i="1" l="1"/>
  <c r="AH47" i="1"/>
  <c r="AH46" i="1"/>
  <c r="AH45" i="1"/>
  <c r="AH44" i="1"/>
  <c r="AH50" i="1"/>
  <c r="AH43" i="1"/>
  <c r="AH41" i="1" l="1"/>
  <c r="AH42" i="1"/>
  <c r="AH51" i="1" l="1"/>
  <c r="C55" i="1" s="1"/>
  <c r="C40" i="1"/>
  <c r="D40" i="1" l="1"/>
  <c r="E9" i="1" s="1"/>
  <c r="D9" i="1"/>
  <c r="C57" i="1"/>
  <c r="AA61" i="1" s="1"/>
  <c r="AA62" i="1" s="1"/>
  <c r="E40" i="1" l="1"/>
  <c r="F40" i="1" l="1"/>
  <c r="F9" i="1"/>
  <c r="G40" i="1" l="1"/>
  <c r="G9" i="1"/>
  <c r="H40" i="1" l="1"/>
  <c r="H9" i="1"/>
  <c r="I40" i="1" l="1"/>
  <c r="I9" i="1"/>
  <c r="J40" i="1" l="1"/>
  <c r="J9" i="1"/>
  <c r="K40" i="1" l="1"/>
  <c r="K9" i="1"/>
  <c r="L40" i="1" l="1"/>
  <c r="L9" i="1"/>
  <c r="M40" i="1" l="1"/>
  <c r="M9" i="1"/>
  <c r="N40" i="1" l="1"/>
  <c r="N9" i="1"/>
  <c r="O40" i="1" l="1"/>
  <c r="O9" i="1"/>
  <c r="P40" i="1" l="1"/>
  <c r="P9" i="1"/>
  <c r="Q40" i="1" l="1"/>
  <c r="Q9" i="1"/>
  <c r="R40" i="1" l="1"/>
  <c r="R9" i="1"/>
  <c r="S40" i="1" l="1"/>
  <c r="S9" i="1"/>
  <c r="T40" i="1" l="1"/>
  <c r="T9" i="1"/>
  <c r="U40" i="1" l="1"/>
  <c r="U9" i="1"/>
  <c r="V40" i="1" l="1"/>
  <c r="V9" i="1"/>
  <c r="W40" i="1" l="1"/>
  <c r="W9" i="1"/>
  <c r="X40" i="1" l="1"/>
  <c r="X9" i="1"/>
  <c r="Y40" i="1" l="1"/>
  <c r="Y9" i="1"/>
  <c r="Z40" i="1" l="1"/>
  <c r="Z9" i="1"/>
  <c r="AA40" i="1" l="1"/>
  <c r="AA9" i="1"/>
  <c r="AB40" i="1" l="1"/>
  <c r="AB9" i="1"/>
  <c r="AC40" i="1" l="1"/>
  <c r="AC9" i="1"/>
  <c r="AD40" i="1" l="1"/>
  <c r="AD9" i="1"/>
  <c r="AE40" i="1" l="1"/>
  <c r="AE9" i="1"/>
  <c r="AF40" i="1" l="1"/>
  <c r="AF9" i="1"/>
  <c r="AG40" i="1" l="1"/>
  <c r="AG9" i="1"/>
</calcChain>
</file>

<file path=xl/sharedStrings.xml><?xml version="1.0" encoding="utf-8"?>
<sst xmlns="http://schemas.openxmlformats.org/spreadsheetml/2006/main" count="150" uniqueCount="117">
  <si>
    <t>Khan Transportation - HA0935</t>
  </si>
  <si>
    <t>Enter Format (Month/1/Year) ie: 6/1/12</t>
  </si>
  <si>
    <t>*Please fill in only the cells highlighted in yellow. The non-highlighted cells contain formulas to estimate totals based on contractual rates.</t>
  </si>
  <si>
    <t xml:space="preserve">875 Service Code: </t>
  </si>
  <si>
    <t xml:space="preserve">Vehicle Rate: 0V0 </t>
  </si>
  <si>
    <t>Calendar Month Days</t>
  </si>
  <si>
    <t>Route #</t>
  </si>
  <si>
    <t>Route Segment</t>
  </si>
  <si>
    <t>Total</t>
  </si>
  <si>
    <t>Khan1</t>
  </si>
  <si>
    <t>AM Segment</t>
  </si>
  <si>
    <t>PM Segment</t>
  </si>
  <si>
    <t>Khan2</t>
  </si>
  <si>
    <t>Khan3</t>
  </si>
  <si>
    <t>Khan4</t>
  </si>
  <si>
    <t>Khan5</t>
  </si>
  <si>
    <t>Khan6</t>
  </si>
  <si>
    <t>Khan7</t>
  </si>
  <si>
    <t>Khan8</t>
  </si>
  <si>
    <t>Khan9</t>
  </si>
  <si>
    <t>Khan10</t>
  </si>
  <si>
    <t>Vehicle Rate Estimate</t>
  </si>
  <si>
    <t>Total Vehicle Units</t>
  </si>
  <si>
    <t>Vehicle Unit Rate</t>
  </si>
  <si>
    <t>Total Vehicle Reimbursement</t>
  </si>
  <si>
    <t>SS0 Vehicle Service Miles Breakdown (AM&amp;PM)</t>
  </si>
  <si>
    <t>Vehicle Service Mile Estimate</t>
  </si>
  <si>
    <t>Total Vehicle Service Miles (total of all routes)</t>
  </si>
  <si>
    <t>Contract Vehicle Service Mile Rate</t>
  </si>
  <si>
    <t>Total Vehicle Service Mile Reimbursement</t>
  </si>
  <si>
    <t>Total Invoice Estimate</t>
  </si>
  <si>
    <t xml:space="preserve">Total Vehicle Reimbursement  </t>
  </si>
  <si>
    <t xml:space="preserve">Total SS0 Vehicle Service Miles Reimbursement  </t>
  </si>
  <si>
    <t>Invoice Grand Total</t>
  </si>
  <si>
    <t>Khan Transportation - HA0935 - 875</t>
  </si>
  <si>
    <t>Date format must be entered as follows (Month/1/Year) ie: 5/1/24</t>
  </si>
  <si>
    <r>
      <rPr>
        <b/>
        <sz val="10"/>
        <color theme="1"/>
        <rFont val="Calibri"/>
        <family val="2"/>
      </rPr>
      <t>*Purpose:</t>
    </r>
    <r>
      <rPr>
        <sz val="10"/>
        <color theme="1"/>
        <rFont val="Calibri"/>
        <family val="2"/>
      </rPr>
      <t xml:space="preserve"> The purpose of the attendance report is to log the daily trips provided to each rider. This report will also assist in calculating the total trips for the month; this data will be reported in your monthly ebilling submission. </t>
    </r>
  </si>
  <si>
    <r>
      <rPr>
        <b/>
        <sz val="10"/>
        <color theme="1"/>
        <rFont val="Calibri"/>
        <family val="2"/>
      </rPr>
      <t>*Instructions:</t>
    </r>
    <r>
      <rPr>
        <sz val="10"/>
        <color theme="1"/>
        <rFont val="Calibri"/>
        <family val="2"/>
      </rPr>
      <t xml:space="preserve"> Please list all riders and their respective details. Attendance must be tracked as follows: </t>
    </r>
  </si>
  <si>
    <t>0 = Absent</t>
  </si>
  <si>
    <t xml:space="preserve">Reported by home </t>
  </si>
  <si>
    <t>1 = One Way</t>
  </si>
  <si>
    <t>2 = Round Trip</t>
  </si>
  <si>
    <t>NS = No Show</t>
  </si>
  <si>
    <t xml:space="preserve">No Contact/ Notice </t>
  </si>
  <si>
    <t>C = Cancellation</t>
  </si>
  <si>
    <t xml:space="preserve">Cancelled at the door </t>
  </si>
  <si>
    <t>X= Vendor Cancellation</t>
  </si>
  <si>
    <t xml:space="preserve">Vendor Cancelled </t>
  </si>
  <si>
    <t xml:space="preserve">Daily Attendance Report </t>
  </si>
  <si>
    <t>#</t>
  </si>
  <si>
    <t xml:space="preserve">First Name </t>
  </si>
  <si>
    <t xml:space="preserve">Last Name </t>
  </si>
  <si>
    <t xml:space="preserve">UCI </t>
  </si>
  <si>
    <t xml:space="preserve">Route / Vehicle ID </t>
  </si>
  <si>
    <t>Service Days</t>
  </si>
  <si>
    <t>Total Trips</t>
  </si>
  <si>
    <t xml:space="preserve">No Shows </t>
  </si>
  <si>
    <t>Cancellations</t>
  </si>
  <si>
    <t>Vendor CXL</t>
  </si>
  <si>
    <t>Chad</t>
  </si>
  <si>
    <t>Applegate</t>
  </si>
  <si>
    <t>Alyvia</t>
  </si>
  <si>
    <t>Baylor</t>
  </si>
  <si>
    <t>Ashley</t>
  </si>
  <si>
    <t>Butterfield</t>
  </si>
  <si>
    <t>Brianna</t>
  </si>
  <si>
    <t>Cameron</t>
  </si>
  <si>
    <t>Stefon</t>
  </si>
  <si>
    <t>Craig</t>
  </si>
  <si>
    <t>Paramvir (Robbie)</t>
  </si>
  <si>
    <t>Dhillon</t>
  </si>
  <si>
    <t>Garrett</t>
  </si>
  <si>
    <t>Garcia</t>
  </si>
  <si>
    <t>Alex</t>
  </si>
  <si>
    <t>Gomez</t>
  </si>
  <si>
    <t>Samuel</t>
  </si>
  <si>
    <t>Jones</t>
  </si>
  <si>
    <t>Jesh</t>
  </si>
  <si>
    <t>Kumar</t>
  </si>
  <si>
    <t>Joshua</t>
  </si>
  <si>
    <t>Kumler</t>
  </si>
  <si>
    <t>Tyler</t>
  </si>
  <si>
    <t>Loiseaux</t>
  </si>
  <si>
    <t>Timothy</t>
  </si>
  <si>
    <t>Majors</t>
  </si>
  <si>
    <t>Elizabeth</t>
  </si>
  <si>
    <t>Marubayashi</t>
  </si>
  <si>
    <t>Brandon</t>
  </si>
  <si>
    <t>Miller</t>
  </si>
  <si>
    <t>Nichole</t>
  </si>
  <si>
    <t>Nicholson</t>
  </si>
  <si>
    <t>Tigger (AM)</t>
  </si>
  <si>
    <t>Neilson</t>
  </si>
  <si>
    <t/>
  </si>
  <si>
    <t>Tigger (PM)</t>
  </si>
  <si>
    <t>George</t>
  </si>
  <si>
    <t>Orin</t>
  </si>
  <si>
    <t>Joseph</t>
  </si>
  <si>
    <t>Perez</t>
  </si>
  <si>
    <t>Robert</t>
  </si>
  <si>
    <t>Schneible</t>
  </si>
  <si>
    <t>Jonathan</t>
  </si>
  <si>
    <t>Serrato</t>
  </si>
  <si>
    <t>Jennifer</t>
  </si>
  <si>
    <t>Sherrard</t>
  </si>
  <si>
    <t>Anthony</t>
  </si>
  <si>
    <t>Stayner</t>
  </si>
  <si>
    <t>Shon</t>
  </si>
  <si>
    <t>Teel</t>
  </si>
  <si>
    <t>Pablo</t>
  </si>
  <si>
    <t>Tinoco</t>
  </si>
  <si>
    <t>Connor</t>
  </si>
  <si>
    <t>Verplancken</t>
  </si>
  <si>
    <t>Brenden</t>
  </si>
  <si>
    <t>Wands</t>
  </si>
  <si>
    <t>Glen</t>
  </si>
  <si>
    <t>Wells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</si>
</sst>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mmm\-yyyy"/>
    <numFmt numFmtId="165" formatCode="ddd\ \ d"/>
  </numFmts>
  <fonts count="24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0"/>
      <color theme="1"/>
      <name val="Calibri"/>
      <family val="2"/>
    </font>
    <font>
      <sz val="16"/>
      <color theme="1"/>
      <name val="Calibri"/>
      <family val="2"/>
    </font>
    <font>
      <sz val="10"/>
      <name val="Arial"/>
      <family val="2"/>
    </font>
    <font>
      <sz val="14"/>
      <color theme="1"/>
      <name val="Calibri"/>
      <family val="2"/>
    </font>
    <font>
      <sz val="10"/>
      <color rgb="FFC0C0C0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5"/>
      <color theme="1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rgb="FFC0C0C0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6">
    <xf numFmtId="0" fontId="0" fillId="0" borderId="0"/>
    <xf numFmtId="0" fontId="6" fillId="0" borderId="0"/>
    <xf numFmtId="0" fontId="19" fillId="0" borderId="0"/>
    <xf numFmtId="0" fontId="2" fillId="0" borderId="0"/>
    <xf numFmtId="0" fontId="1" fillId="0" borderId="0"/>
    <xf numFmtId="44" fontId="23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4" fillId="0" borderId="0" xfId="0" applyFont="1"/>
    <xf numFmtId="0" fontId="7" fillId="3" borderId="0" xfId="0" applyFont="1" applyFill="1"/>
    <xf numFmtId="0" fontId="4" fillId="3" borderId="0" xfId="0" applyFont="1" applyFill="1"/>
    <xf numFmtId="0" fontId="8" fillId="3" borderId="0" xfId="0" applyFont="1" applyFill="1"/>
    <xf numFmtId="0" fontId="5" fillId="0" borderId="0" xfId="0" applyFont="1"/>
    <xf numFmtId="0" fontId="9" fillId="0" borderId="0" xfId="0" applyFont="1"/>
    <xf numFmtId="165" fontId="10" fillId="3" borderId="2" xfId="0" applyNumberFormat="1" applyFont="1" applyFill="1" applyBorder="1" applyAlignment="1">
      <alignment horizontal="center"/>
    </xf>
    <xf numFmtId="16" fontId="10" fillId="3" borderId="2" xfId="0" applyNumberFormat="1" applyFont="1" applyFill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44" fontId="4" fillId="0" borderId="0" xfId="0" applyNumberFormat="1" applyFont="1"/>
    <xf numFmtId="0" fontId="14" fillId="0" borderId="0" xfId="0" applyFont="1"/>
    <xf numFmtId="4" fontId="11" fillId="2" borderId="2" xfId="0" applyNumberFormat="1" applyFont="1" applyFill="1" applyBorder="1" applyAlignment="1" applyProtection="1">
      <alignment horizontal="center"/>
      <protection locked="0"/>
    </xf>
    <xf numFmtId="0" fontId="16" fillId="0" borderId="0" xfId="0" applyFont="1"/>
    <xf numFmtId="0" fontId="6" fillId="0" borderId="0" xfId="0" applyFont="1"/>
    <xf numFmtId="0" fontId="6" fillId="0" borderId="9" xfId="0" applyFont="1" applyBorder="1"/>
    <xf numFmtId="0" fontId="0" fillId="0" borderId="9" xfId="0" applyBorder="1"/>
    <xf numFmtId="0" fontId="3" fillId="4" borderId="10" xfId="2" applyFont="1" applyFill="1" applyBorder="1"/>
    <xf numFmtId="0" fontId="4" fillId="4" borderId="10" xfId="2" applyFont="1" applyFill="1" applyBorder="1"/>
    <xf numFmtId="0" fontId="20" fillId="4" borderId="10" xfId="2" applyFont="1" applyFill="1" applyBorder="1"/>
    <xf numFmtId="0" fontId="20" fillId="0" borderId="0" xfId="2" applyFont="1"/>
    <xf numFmtId="0" fontId="4" fillId="5" borderId="13" xfId="2" applyFont="1" applyFill="1" applyBorder="1"/>
    <xf numFmtId="0" fontId="8" fillId="5" borderId="13" xfId="2" applyFont="1" applyFill="1" applyBorder="1"/>
    <xf numFmtId="0" fontId="4" fillId="0" borderId="0" xfId="2" applyFont="1"/>
    <xf numFmtId="0" fontId="4" fillId="0" borderId="0" xfId="2" applyFont="1" applyAlignment="1">
      <alignment horizontal="left"/>
    </xf>
    <xf numFmtId="0" fontId="5" fillId="0" borderId="0" xfId="2" applyFont="1"/>
    <xf numFmtId="0" fontId="16" fillId="6" borderId="14" xfId="2" applyFont="1" applyFill="1" applyBorder="1"/>
    <xf numFmtId="0" fontId="20" fillId="6" borderId="13" xfId="2" applyFont="1" applyFill="1" applyBorder="1"/>
    <xf numFmtId="0" fontId="9" fillId="6" borderId="13" xfId="2" applyFont="1" applyFill="1" applyBorder="1"/>
    <xf numFmtId="0" fontId="4" fillId="6" borderId="13" xfId="2" applyFont="1" applyFill="1" applyBorder="1"/>
    <xf numFmtId="0" fontId="20" fillId="6" borderId="16" xfId="2" applyFont="1" applyFill="1" applyBorder="1"/>
    <xf numFmtId="0" fontId="10" fillId="7" borderId="17" xfId="2" applyFont="1" applyFill="1" applyBorder="1" applyAlignment="1">
      <alignment horizontal="center"/>
    </xf>
    <xf numFmtId="0" fontId="10" fillId="7" borderId="18" xfId="2" applyFont="1" applyFill="1" applyBorder="1" applyAlignment="1">
      <alignment horizontal="left"/>
    </xf>
    <xf numFmtId="165" fontId="10" fillId="7" borderId="18" xfId="2" applyNumberFormat="1" applyFont="1" applyFill="1" applyBorder="1" applyAlignment="1">
      <alignment horizontal="center"/>
    </xf>
    <xf numFmtId="16" fontId="10" fillId="7" borderId="8" xfId="2" applyNumberFormat="1" applyFont="1" applyFill="1" applyBorder="1" applyAlignment="1">
      <alignment horizontal="center"/>
    </xf>
    <xf numFmtId="16" fontId="10" fillId="7" borderId="19" xfId="2" applyNumberFormat="1" applyFont="1" applyFill="1" applyBorder="1" applyAlignment="1">
      <alignment horizontal="center"/>
    </xf>
    <xf numFmtId="0" fontId="20" fillId="0" borderId="20" xfId="2" applyFont="1" applyBorder="1" applyAlignment="1">
      <alignment horizontal="center" vertical="center"/>
    </xf>
    <xf numFmtId="0" fontId="11" fillId="0" borderId="2" xfId="2" applyFont="1" applyBorder="1" applyAlignment="1">
      <alignment horizontal="left"/>
    </xf>
    <xf numFmtId="0" fontId="10" fillId="0" borderId="2" xfId="2" applyFont="1" applyBorder="1" applyAlignment="1">
      <alignment horizontal="left"/>
    </xf>
    <xf numFmtId="0" fontId="11" fillId="2" borderId="2" xfId="2" applyFont="1" applyFill="1" applyBorder="1" applyAlignment="1" applyProtection="1">
      <alignment horizontal="center"/>
      <protection locked="0"/>
    </xf>
    <xf numFmtId="0" fontId="11" fillId="0" borderId="4" xfId="2" applyFont="1" applyBorder="1" applyAlignment="1">
      <alignment horizontal="center"/>
    </xf>
    <xf numFmtId="0" fontId="11" fillId="0" borderId="5" xfId="2" applyFont="1" applyBorder="1" applyAlignment="1">
      <alignment horizontal="left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1" fillId="0" borderId="20" xfId="4" applyFont="1" applyBorder="1" applyAlignment="1">
      <alignment horizontal="left"/>
    </xf>
    <xf numFmtId="0" fontId="22" fillId="0" borderId="0" xfId="0" applyFont="1"/>
    <xf numFmtId="4" fontId="11" fillId="2" borderId="5" xfId="0" applyNumberFormat="1" applyFont="1" applyFill="1" applyBorder="1" applyAlignment="1" applyProtection="1">
      <alignment horizontal="center"/>
      <protection locked="0"/>
    </xf>
    <xf numFmtId="0" fontId="10" fillId="3" borderId="21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7" fillId="0" borderId="9" xfId="0" applyFont="1" applyBorder="1" applyAlignment="1">
      <alignment horizontal="right"/>
    </xf>
    <xf numFmtId="0" fontId="17" fillId="0" borderId="0" xfId="0" applyFont="1" applyAlignment="1">
      <alignment horizontal="right"/>
    </xf>
    <xf numFmtId="44" fontId="9" fillId="0" borderId="10" xfId="5" applyFont="1" applyBorder="1" applyAlignment="1">
      <alignment horizontal="center"/>
    </xf>
    <xf numFmtId="164" fontId="5" fillId="2" borderId="0" xfId="0" applyNumberFormat="1" applyFont="1" applyFill="1" applyAlignment="1" applyProtection="1">
      <alignment horizontal="center"/>
      <protection locked="0"/>
    </xf>
    <xf numFmtId="0" fontId="9" fillId="0" borderId="1" xfId="0" applyFont="1" applyBorder="1" applyAlignment="1">
      <alignment horizontal="center"/>
    </xf>
    <xf numFmtId="4" fontId="11" fillId="0" borderId="4" xfId="0" applyNumberFormat="1" applyFont="1" applyBorder="1" applyAlignment="1">
      <alignment horizontal="center"/>
    </xf>
    <xf numFmtId="7" fontId="11" fillId="0" borderId="4" xfId="0" applyNumberFormat="1" applyFont="1" applyBorder="1" applyAlignment="1">
      <alignment horizontal="center"/>
    </xf>
    <xf numFmtId="7" fontId="10" fillId="0" borderId="4" xfId="0" applyNumberFormat="1" applyFont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3" fillId="0" borderId="8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44" fontId="13" fillId="0" borderId="12" xfId="5" applyFont="1" applyBorder="1" applyAlignment="1">
      <alignment horizontal="center"/>
    </xf>
    <xf numFmtId="44" fontId="13" fillId="0" borderId="11" xfId="5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" fillId="0" borderId="0" xfId="2" applyFont="1" applyAlignment="1">
      <alignment horizontal="left"/>
    </xf>
    <xf numFmtId="164" fontId="5" fillId="2" borderId="13" xfId="2" applyNumberFormat="1" applyFont="1" applyFill="1" applyBorder="1" applyAlignment="1" applyProtection="1">
      <alignment horizontal="center"/>
      <protection locked="0"/>
    </xf>
    <xf numFmtId="0" fontId="7" fillId="5" borderId="14" xfId="2" applyFont="1" applyFill="1" applyBorder="1" applyAlignment="1">
      <alignment horizontal="left"/>
    </xf>
    <xf numFmtId="0" fontId="7" fillId="5" borderId="13" xfId="2" applyFont="1" applyFill="1" applyBorder="1" applyAlignment="1">
      <alignment horizontal="left"/>
    </xf>
    <xf numFmtId="0" fontId="4" fillId="0" borderId="15" xfId="2" applyFont="1" applyBorder="1" applyAlignment="1">
      <alignment horizontal="left"/>
    </xf>
    <xf numFmtId="0" fontId="20" fillId="0" borderId="0" xfId="2" applyFont="1" applyAlignment="1">
      <alignment horizontal="left"/>
    </xf>
    <xf numFmtId="0" fontId="6" fillId="0" borderId="0" xfId="0" applyFont="1" applyAlignment="1" applyProtection="1">
      <protection locked="0"/>
    </xf>
    <xf numFmtId="0" fontId="6" fillId="0" borderId="1" xfId="0" applyFont="1" applyBorder="1" applyAlignment="1"/>
    <xf numFmtId="0" fontId="6" fillId="0" borderId="5" xfId="0" applyFont="1" applyBorder="1" applyAlignment="1"/>
  </cellXfs>
  <cellStyles count="6">
    <cellStyle name="Currency" xfId="5" builtinId="4"/>
    <cellStyle name="Normal" xfId="0" builtinId="0"/>
    <cellStyle name="Normal 2" xfId="1" xr:uid="{62E82D04-919E-4C5A-AAA1-AEC30CA16BED}"/>
    <cellStyle name="Normal 2 2" xfId="2" xr:uid="{815ABB26-2D8A-47A2-8C3A-CE1EDDB1C1B9}"/>
    <cellStyle name="Normal 3" xfId="3" xr:uid="{2344880F-9E01-49F8-999A-BF830A356718}"/>
    <cellStyle name="Normal 3 2" xfId="4" xr:uid="{90A85DA1-5DDB-4498-AFD3-D35ABD36170A}"/>
  </cellStyles>
  <dxfs count="8"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CC1F-64B4-46A0-B75A-683F49E2E6F3}">
  <sheetPr>
    <pageSetUpPr fitToPage="1"/>
  </sheetPr>
  <dimension ref="A1:AI1006"/>
  <sheetViews>
    <sheetView tabSelected="1" topLeftCell="A31" workbookViewId="0">
      <selection activeCell="D44" sqref="D44"/>
    </sheetView>
  </sheetViews>
  <sheetFormatPr defaultColWidth="12.5703125" defaultRowHeight="15" customHeight="1"/>
  <cols>
    <col min="1" max="1" width="14.42578125" customWidth="1"/>
    <col min="2" max="2" width="16.42578125" customWidth="1"/>
    <col min="3" max="33" width="11.42578125" customWidth="1"/>
    <col min="34" max="34" width="16.140625" customWidth="1"/>
  </cols>
  <sheetData>
    <row r="1" spans="1:34" ht="27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0.25" customHeight="1">
      <c r="A2" s="64">
        <v>46082</v>
      </c>
      <c r="B2" s="64"/>
      <c r="C2" s="84"/>
      <c r="D2" s="3" t="s">
        <v>1</v>
      </c>
      <c r="E2" s="4"/>
      <c r="F2" s="4"/>
      <c r="G2" s="4"/>
      <c r="H2" s="4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6.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5.75" customHeight="1">
      <c r="A4" s="6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6.5" customHeight="1">
      <c r="A5" s="7" t="s">
        <v>3</v>
      </c>
      <c r="B5" s="20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6.5" customHeight="1">
      <c r="A6" s="7"/>
      <c r="B6" s="2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21" customHeight="1">
      <c r="A7" s="52" t="s">
        <v>4</v>
      </c>
      <c r="B7" s="52"/>
      <c r="C7" s="52"/>
      <c r="D7" s="52"/>
      <c r="E7" s="52"/>
      <c r="F7" s="5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.75" customHeight="1">
      <c r="A8" s="2"/>
      <c r="B8" s="2"/>
      <c r="C8" s="65" t="s">
        <v>5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2"/>
    </row>
    <row r="9" spans="1:34" ht="18.75" customHeight="1">
      <c r="A9" s="54" t="s">
        <v>6</v>
      </c>
      <c r="B9" s="54" t="s">
        <v>7</v>
      </c>
      <c r="C9" s="8">
        <f>+$A$2</f>
        <v>46082</v>
      </c>
      <c r="D9" s="8">
        <f>+C$40+1</f>
        <v>46083</v>
      </c>
      <c r="E9" s="8">
        <f t="shared" ref="E9" si="0">+D$40+1</f>
        <v>46084</v>
      </c>
      <c r="F9" s="8">
        <f t="shared" ref="F9" si="1">+E$40+1</f>
        <v>46085</v>
      </c>
      <c r="G9" s="8">
        <f t="shared" ref="G9" si="2">+F$40+1</f>
        <v>46086</v>
      </c>
      <c r="H9" s="8">
        <f t="shared" ref="H9" si="3">+G$40+1</f>
        <v>46087</v>
      </c>
      <c r="I9" s="8">
        <f t="shared" ref="I9" si="4">+H$40+1</f>
        <v>46088</v>
      </c>
      <c r="J9" s="8">
        <f t="shared" ref="J9" si="5">+I$40+1</f>
        <v>46089</v>
      </c>
      <c r="K9" s="8">
        <f t="shared" ref="K9" si="6">+J$40+1</f>
        <v>46090</v>
      </c>
      <c r="L9" s="8">
        <f t="shared" ref="L9" si="7">+K$40+1</f>
        <v>46091</v>
      </c>
      <c r="M9" s="8">
        <f t="shared" ref="M9" si="8">+L$40+1</f>
        <v>46092</v>
      </c>
      <c r="N9" s="8">
        <f t="shared" ref="N9" si="9">+M$40+1</f>
        <v>46093</v>
      </c>
      <c r="O9" s="8">
        <f t="shared" ref="O9" si="10">+N$40+1</f>
        <v>46094</v>
      </c>
      <c r="P9" s="8">
        <f t="shared" ref="P9" si="11">+O$40+1</f>
        <v>46095</v>
      </c>
      <c r="Q9" s="8">
        <f t="shared" ref="Q9" si="12">+P$40+1</f>
        <v>46096</v>
      </c>
      <c r="R9" s="8">
        <f t="shared" ref="R9" si="13">+Q$40+1</f>
        <v>46097</v>
      </c>
      <c r="S9" s="8">
        <f t="shared" ref="S9" si="14">+R$40+1</f>
        <v>46098</v>
      </c>
      <c r="T9" s="8">
        <f t="shared" ref="T9" si="15">+S$40+1</f>
        <v>46099</v>
      </c>
      <c r="U9" s="8">
        <f t="shared" ref="U9" si="16">+T$40+1</f>
        <v>46100</v>
      </c>
      <c r="V9" s="8">
        <f t="shared" ref="V9" si="17">+U$40+1</f>
        <v>46101</v>
      </c>
      <c r="W9" s="8">
        <f t="shared" ref="W9" si="18">+V$40+1</f>
        <v>46102</v>
      </c>
      <c r="X9" s="8">
        <f t="shared" ref="X9" si="19">+W$40+1</f>
        <v>46103</v>
      </c>
      <c r="Y9" s="8">
        <f t="shared" ref="Y9" si="20">+X$40+1</f>
        <v>46104</v>
      </c>
      <c r="Z9" s="8">
        <f t="shared" ref="Z9" si="21">+Y$40+1</f>
        <v>46105</v>
      </c>
      <c r="AA9" s="8">
        <f t="shared" ref="AA9" si="22">+Z$40+1</f>
        <v>46106</v>
      </c>
      <c r="AB9" s="8">
        <f t="shared" ref="AB9" si="23">+AA$40+1</f>
        <v>46107</v>
      </c>
      <c r="AC9" s="8">
        <f t="shared" ref="AC9" si="24">+AB$40+1</f>
        <v>46108</v>
      </c>
      <c r="AD9" s="8">
        <f t="shared" ref="AD9" si="25">+AC$40+1</f>
        <v>46109</v>
      </c>
      <c r="AE9" s="8">
        <f>IF(MONTH(+AD$40+1)=MONTH(+$A$2),+AD$40+1,"")</f>
        <v>46110</v>
      </c>
      <c r="AF9" s="8">
        <f>IF(AE$40="","",IF(MONTH(+AE$40+1)=MONTH(+$A$2),+AE$40+1,""))</f>
        <v>46111</v>
      </c>
      <c r="AG9" s="8">
        <f>IF(AF$40="","",IF(MONTH(+AF$40+1)=MONTH(+$A$2),+AF$40+1,""))</f>
        <v>46112</v>
      </c>
      <c r="AH9" s="9" t="s">
        <v>8</v>
      </c>
    </row>
    <row r="10" spans="1:34" ht="16.5" customHeight="1">
      <c r="A10" s="69" t="s">
        <v>9</v>
      </c>
      <c r="B10" s="58" t="s">
        <v>10</v>
      </c>
      <c r="C10" s="53"/>
      <c r="D10" s="19">
        <v>1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0">
        <f t="shared" ref="AH10" si="26">SUM(C10:AG10)</f>
        <v>1</v>
      </c>
    </row>
    <row r="11" spans="1:34" ht="16.5" customHeight="1">
      <c r="A11" s="70"/>
      <c r="B11" s="58" t="s">
        <v>11</v>
      </c>
      <c r="C11" s="53"/>
      <c r="D11" s="19">
        <v>1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0">
        <f t="shared" ref="AH11:AH15" si="27">SUM(C11:AG11)</f>
        <v>1</v>
      </c>
    </row>
    <row r="12" spans="1:34" ht="16.5" customHeight="1">
      <c r="A12" s="71" t="s">
        <v>12</v>
      </c>
      <c r="B12" s="58" t="s">
        <v>10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0">
        <f t="shared" ref="AH12" si="28">SUM(C12:AG12)</f>
        <v>0</v>
      </c>
    </row>
    <row r="13" spans="1:34" ht="16.5" customHeight="1">
      <c r="A13" s="60"/>
      <c r="B13" s="58" t="s">
        <v>11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0">
        <f t="shared" si="27"/>
        <v>0</v>
      </c>
    </row>
    <row r="14" spans="1:34" ht="16.5" customHeight="1">
      <c r="A14" s="59" t="s">
        <v>13</v>
      </c>
      <c r="B14" s="58" t="s">
        <v>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0">
        <f t="shared" ref="AH14" si="29">SUM(C14:AG14)</f>
        <v>0</v>
      </c>
    </row>
    <row r="15" spans="1:34" ht="16.5" customHeight="1">
      <c r="A15" s="60"/>
      <c r="B15" s="58" t="s">
        <v>11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0">
        <f t="shared" si="27"/>
        <v>0</v>
      </c>
    </row>
    <row r="16" spans="1:34" ht="16.5" customHeight="1">
      <c r="A16" s="59" t="s">
        <v>14</v>
      </c>
      <c r="B16" s="58" t="s">
        <v>10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0">
        <f>SUM(C16:AG16)</f>
        <v>0</v>
      </c>
    </row>
    <row r="17" spans="1:35" ht="16.5" customHeight="1">
      <c r="A17" s="60"/>
      <c r="B17" s="58" t="s">
        <v>11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0">
        <f>SUM(C17:AG17)</f>
        <v>0</v>
      </c>
    </row>
    <row r="18" spans="1:35" ht="16.5" customHeight="1">
      <c r="A18" s="59" t="s">
        <v>15</v>
      </c>
      <c r="B18" s="58" t="s">
        <v>10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0">
        <f t="shared" ref="AH18" si="30">SUM(C18:AG18)</f>
        <v>0</v>
      </c>
    </row>
    <row r="19" spans="1:35" ht="16.5" customHeight="1">
      <c r="A19" s="60"/>
      <c r="B19" s="58" t="s">
        <v>11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0">
        <f t="shared" ref="AH19:AH25" si="31">SUM(C19:AG19)</f>
        <v>0</v>
      </c>
    </row>
    <row r="20" spans="1:35" ht="16.5" customHeight="1">
      <c r="A20" s="59" t="s">
        <v>16</v>
      </c>
      <c r="B20" s="58" t="s">
        <v>10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0">
        <f t="shared" ref="AH20" si="32">SUM(C20:AG20)</f>
        <v>0</v>
      </c>
    </row>
    <row r="21" spans="1:35" ht="16.5" customHeight="1">
      <c r="A21" s="60"/>
      <c r="B21" s="58" t="s">
        <v>11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0">
        <f t="shared" si="31"/>
        <v>0</v>
      </c>
    </row>
    <row r="22" spans="1:35" ht="16.5" customHeight="1">
      <c r="A22" s="59" t="s">
        <v>17</v>
      </c>
      <c r="B22" s="58" t="s">
        <v>10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0">
        <f t="shared" ref="AH22" si="33">SUM(C22:AG22)</f>
        <v>0</v>
      </c>
    </row>
    <row r="23" spans="1:35" ht="16.5" customHeight="1">
      <c r="A23" s="60"/>
      <c r="B23" s="58" t="s">
        <v>11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0">
        <f t="shared" si="31"/>
        <v>0</v>
      </c>
    </row>
    <row r="24" spans="1:35" ht="16.5" customHeight="1">
      <c r="A24" s="59" t="s">
        <v>18</v>
      </c>
      <c r="B24" s="58" t="s">
        <v>10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0">
        <f t="shared" ref="AH24" si="34">SUM(C24:AG24)</f>
        <v>0</v>
      </c>
    </row>
    <row r="25" spans="1:35" ht="16.5" customHeight="1">
      <c r="A25" s="60"/>
      <c r="B25" s="58" t="s">
        <v>11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0">
        <f t="shared" si="31"/>
        <v>0</v>
      </c>
    </row>
    <row r="26" spans="1:35" ht="16.5" customHeight="1">
      <c r="A26" s="59" t="s">
        <v>19</v>
      </c>
      <c r="B26" s="58" t="s">
        <v>10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0">
        <f>SUM(C26:AG26)</f>
        <v>0</v>
      </c>
    </row>
    <row r="27" spans="1:35" ht="16.5" customHeight="1">
      <c r="A27" s="60"/>
      <c r="B27" s="58" t="s">
        <v>11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0">
        <f>SUM(C27:AG27)</f>
        <v>0</v>
      </c>
    </row>
    <row r="28" spans="1:35" ht="16.5" customHeight="1">
      <c r="A28" s="59" t="s">
        <v>20</v>
      </c>
      <c r="B28" s="58" t="s">
        <v>10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0">
        <f>SUM(C28:AG28)</f>
        <v>0</v>
      </c>
    </row>
    <row r="29" spans="1:35" ht="16.5" customHeight="1">
      <c r="A29" s="60"/>
      <c r="B29" s="58" t="s">
        <v>11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0">
        <f>SUM(C29:AG29)</f>
        <v>0</v>
      </c>
    </row>
    <row r="30" spans="1:35" ht="16.5" customHeight="1">
      <c r="A30" s="11"/>
      <c r="B30" s="13"/>
      <c r="C30" s="12">
        <f>SUM(C10:C29)</f>
        <v>0</v>
      </c>
      <c r="D30" s="12">
        <f>SUM(D10:D29)</f>
        <v>2</v>
      </c>
      <c r="E30" s="12">
        <f t="shared" ref="E30:AG30" si="35">SUM(E10:E29)</f>
        <v>0</v>
      </c>
      <c r="F30" s="12">
        <f t="shared" si="35"/>
        <v>0</v>
      </c>
      <c r="G30" s="12">
        <f t="shared" si="35"/>
        <v>0</v>
      </c>
      <c r="H30" s="12">
        <f t="shared" si="35"/>
        <v>0</v>
      </c>
      <c r="I30" s="12">
        <f t="shared" si="35"/>
        <v>0</v>
      </c>
      <c r="J30" s="12">
        <f t="shared" si="35"/>
        <v>0</v>
      </c>
      <c r="K30" s="12">
        <f t="shared" si="35"/>
        <v>0</v>
      </c>
      <c r="L30" s="12">
        <f t="shared" si="35"/>
        <v>0</v>
      </c>
      <c r="M30" s="12">
        <f t="shared" si="35"/>
        <v>0</v>
      </c>
      <c r="N30" s="12">
        <f t="shared" si="35"/>
        <v>0</v>
      </c>
      <c r="O30" s="12">
        <f t="shared" si="35"/>
        <v>0</v>
      </c>
      <c r="P30" s="12">
        <f t="shared" si="35"/>
        <v>0</v>
      </c>
      <c r="Q30" s="12">
        <f t="shared" si="35"/>
        <v>0</v>
      </c>
      <c r="R30" s="12">
        <f t="shared" si="35"/>
        <v>0</v>
      </c>
      <c r="S30" s="12">
        <f t="shared" si="35"/>
        <v>0</v>
      </c>
      <c r="T30" s="12">
        <f t="shared" si="35"/>
        <v>0</v>
      </c>
      <c r="U30" s="12">
        <f t="shared" si="35"/>
        <v>0</v>
      </c>
      <c r="V30" s="12">
        <f t="shared" si="35"/>
        <v>0</v>
      </c>
      <c r="W30" s="12">
        <f t="shared" si="35"/>
        <v>0</v>
      </c>
      <c r="X30" s="12">
        <f t="shared" si="35"/>
        <v>0</v>
      </c>
      <c r="Y30" s="12">
        <f t="shared" si="35"/>
        <v>0</v>
      </c>
      <c r="Z30" s="12">
        <f t="shared" si="35"/>
        <v>0</v>
      </c>
      <c r="AA30" s="12">
        <f t="shared" si="35"/>
        <v>0</v>
      </c>
      <c r="AB30" s="12">
        <f t="shared" si="35"/>
        <v>0</v>
      </c>
      <c r="AC30" s="12">
        <f t="shared" si="35"/>
        <v>0</v>
      </c>
      <c r="AD30" s="12">
        <f t="shared" si="35"/>
        <v>0</v>
      </c>
      <c r="AE30" s="12">
        <f t="shared" si="35"/>
        <v>0</v>
      </c>
      <c r="AF30" s="12">
        <f t="shared" si="35"/>
        <v>0</v>
      </c>
      <c r="AG30" s="12">
        <f t="shared" si="35"/>
        <v>0</v>
      </c>
      <c r="AH30" s="12">
        <f>SUM(AH10:AH29)</f>
        <v>2</v>
      </c>
      <c r="AI30" s="12"/>
    </row>
    <row r="31" spans="1:35" ht="16.5" customHeight="1">
      <c r="A31" s="13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5"/>
    </row>
    <row r="32" spans="1:35" ht="16.5" customHeight="1">
      <c r="A32" s="7" t="s">
        <v>21</v>
      </c>
      <c r="B32" s="7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ht="16.5" customHeight="1">
      <c r="A33" s="13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5"/>
    </row>
    <row r="34" spans="1:34" ht="16.5" customHeight="1">
      <c r="A34" s="14"/>
      <c r="B34" s="14"/>
      <c r="C34" s="66">
        <f>AH30</f>
        <v>2</v>
      </c>
      <c r="D34" s="86"/>
      <c r="E34" s="14" t="s">
        <v>22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5"/>
    </row>
    <row r="35" spans="1:34" ht="16.5" customHeight="1">
      <c r="A35" s="14"/>
      <c r="B35" s="14"/>
      <c r="C35" s="67">
        <v>166.94</v>
      </c>
      <c r="D35" s="86"/>
      <c r="E35" s="14" t="s">
        <v>23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</row>
    <row r="36" spans="1:34" ht="16.5" customHeight="1">
      <c r="A36" s="14"/>
      <c r="B36" s="14"/>
      <c r="C36" s="68">
        <f>C35*C34</f>
        <v>333.88</v>
      </c>
      <c r="D36" s="86"/>
      <c r="E36" s="16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5"/>
    </row>
    <row r="37" spans="1:34" ht="16.5" customHeight="1">
      <c r="A37" s="7"/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21" customHeight="1">
      <c r="A38" s="52" t="s">
        <v>25</v>
      </c>
      <c r="B38" s="52"/>
      <c r="C38" s="52"/>
      <c r="D38" s="52"/>
      <c r="E38" s="52"/>
      <c r="F38" s="5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customHeight="1">
      <c r="A39" s="2"/>
      <c r="B39" s="2"/>
      <c r="C39" s="65" t="s">
        <v>5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2"/>
    </row>
    <row r="40" spans="1:34" ht="18.75" customHeight="1">
      <c r="A40" s="54" t="s">
        <v>6</v>
      </c>
      <c r="B40" s="54"/>
      <c r="C40" s="8">
        <f>+$A$2</f>
        <v>46082</v>
      </c>
      <c r="D40" s="8">
        <f>+C$40+1</f>
        <v>46083</v>
      </c>
      <c r="E40" s="8">
        <f t="shared" ref="E40:AD40" si="36">+D$40+1</f>
        <v>46084</v>
      </c>
      <c r="F40" s="8">
        <f t="shared" si="36"/>
        <v>46085</v>
      </c>
      <c r="G40" s="8">
        <f t="shared" si="36"/>
        <v>46086</v>
      </c>
      <c r="H40" s="8">
        <f t="shared" si="36"/>
        <v>46087</v>
      </c>
      <c r="I40" s="8">
        <f t="shared" si="36"/>
        <v>46088</v>
      </c>
      <c r="J40" s="8">
        <f t="shared" si="36"/>
        <v>46089</v>
      </c>
      <c r="K40" s="8">
        <f t="shared" si="36"/>
        <v>46090</v>
      </c>
      <c r="L40" s="8">
        <f t="shared" si="36"/>
        <v>46091</v>
      </c>
      <c r="M40" s="8">
        <f t="shared" si="36"/>
        <v>46092</v>
      </c>
      <c r="N40" s="8">
        <f t="shared" si="36"/>
        <v>46093</v>
      </c>
      <c r="O40" s="8">
        <f t="shared" si="36"/>
        <v>46094</v>
      </c>
      <c r="P40" s="8">
        <f t="shared" si="36"/>
        <v>46095</v>
      </c>
      <c r="Q40" s="8">
        <f t="shared" si="36"/>
        <v>46096</v>
      </c>
      <c r="R40" s="8">
        <f t="shared" si="36"/>
        <v>46097</v>
      </c>
      <c r="S40" s="8">
        <f t="shared" si="36"/>
        <v>46098</v>
      </c>
      <c r="T40" s="8">
        <f t="shared" si="36"/>
        <v>46099</v>
      </c>
      <c r="U40" s="8">
        <f t="shared" si="36"/>
        <v>46100</v>
      </c>
      <c r="V40" s="8">
        <f t="shared" si="36"/>
        <v>46101</v>
      </c>
      <c r="W40" s="8">
        <f t="shared" si="36"/>
        <v>46102</v>
      </c>
      <c r="X40" s="8">
        <f t="shared" si="36"/>
        <v>46103</v>
      </c>
      <c r="Y40" s="8">
        <f t="shared" si="36"/>
        <v>46104</v>
      </c>
      <c r="Z40" s="8">
        <f t="shared" si="36"/>
        <v>46105</v>
      </c>
      <c r="AA40" s="8">
        <f t="shared" si="36"/>
        <v>46106</v>
      </c>
      <c r="AB40" s="8">
        <f t="shared" si="36"/>
        <v>46107</v>
      </c>
      <c r="AC40" s="8">
        <f t="shared" si="36"/>
        <v>46108</v>
      </c>
      <c r="AD40" s="8">
        <f t="shared" si="36"/>
        <v>46109</v>
      </c>
      <c r="AE40" s="8">
        <f>IF(MONTH(+AD$40+1)=MONTH(+$A$2),+AD$40+1,"")</f>
        <v>46110</v>
      </c>
      <c r="AF40" s="8">
        <f>IF(AE$40="","",IF(MONTH(+AE$40+1)=MONTH(+$A$2),+AE$40+1,""))</f>
        <v>46111</v>
      </c>
      <c r="AG40" s="8">
        <f>IF(AF$40="","",IF(MONTH(+AF$40+1)=MONTH(+$A$2),+AF$40+1,""))</f>
        <v>46112</v>
      </c>
      <c r="AH40" s="9" t="s">
        <v>8</v>
      </c>
    </row>
    <row r="41" spans="1:34" ht="16.5" customHeight="1">
      <c r="A41" s="56" t="s">
        <v>9</v>
      </c>
      <c r="B41" s="57"/>
      <c r="C41" s="53"/>
      <c r="D41" s="19">
        <v>234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0">
        <f t="shared" ref="AH41" si="37">SUM(C41:AG41)</f>
        <v>234</v>
      </c>
    </row>
    <row r="42" spans="1:34" ht="16.5" customHeight="1">
      <c r="A42" s="55" t="s">
        <v>12</v>
      </c>
      <c r="B42" s="55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0">
        <f t="shared" ref="AH42:AH43" si="38">SUM(C42:AG42)</f>
        <v>0</v>
      </c>
    </row>
    <row r="43" spans="1:34" ht="16.5" customHeight="1">
      <c r="A43" s="55" t="s">
        <v>13</v>
      </c>
      <c r="B43" s="55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0">
        <f t="shared" si="38"/>
        <v>0</v>
      </c>
    </row>
    <row r="44" spans="1:34" ht="16.5" customHeight="1">
      <c r="A44" s="55" t="s">
        <v>14</v>
      </c>
      <c r="B44" s="55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0">
        <f>SUM(C44:AG44)</f>
        <v>0</v>
      </c>
    </row>
    <row r="45" spans="1:34" ht="16.5" customHeight="1">
      <c r="A45" s="55" t="s">
        <v>15</v>
      </c>
      <c r="B45" s="55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0">
        <f t="shared" ref="AH45:AH48" si="39">SUM(C45:AG45)</f>
        <v>0</v>
      </c>
    </row>
    <row r="46" spans="1:34" ht="16.5" customHeight="1">
      <c r="A46" s="55" t="s">
        <v>16</v>
      </c>
      <c r="B46" s="55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0">
        <f t="shared" si="39"/>
        <v>0</v>
      </c>
    </row>
    <row r="47" spans="1:34" ht="16.5" customHeight="1">
      <c r="A47" s="55" t="s">
        <v>17</v>
      </c>
      <c r="B47" s="55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0">
        <f t="shared" si="39"/>
        <v>0</v>
      </c>
    </row>
    <row r="48" spans="1:34" ht="16.5" customHeight="1">
      <c r="A48" s="55" t="s">
        <v>18</v>
      </c>
      <c r="B48" s="55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0">
        <f t="shared" si="39"/>
        <v>0</v>
      </c>
    </row>
    <row r="49" spans="1:35" ht="16.5" customHeight="1">
      <c r="A49" s="55" t="s">
        <v>19</v>
      </c>
      <c r="B49" s="55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0">
        <f>SUM(C49:AG49)</f>
        <v>0</v>
      </c>
    </row>
    <row r="50" spans="1:35" ht="16.5" customHeight="1">
      <c r="A50" s="55" t="s">
        <v>20</v>
      </c>
      <c r="B50" s="55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0">
        <f>SUM(C50:AG50)</f>
        <v>0</v>
      </c>
    </row>
    <row r="51" spans="1:35" ht="16.5" customHeight="1">
      <c r="A51" s="11"/>
      <c r="B51" s="13"/>
      <c r="C51" s="12">
        <f>SUM(C41:C50)</f>
        <v>0</v>
      </c>
      <c r="D51" s="12">
        <f t="shared" ref="D51:AG51" si="40">SUM(D41:D50)</f>
        <v>234</v>
      </c>
      <c r="E51" s="12">
        <f t="shared" si="40"/>
        <v>0</v>
      </c>
      <c r="F51" s="12">
        <f t="shared" si="40"/>
        <v>0</v>
      </c>
      <c r="G51" s="12">
        <f t="shared" si="40"/>
        <v>0</v>
      </c>
      <c r="H51" s="12">
        <f t="shared" si="40"/>
        <v>0</v>
      </c>
      <c r="I51" s="12">
        <f t="shared" si="40"/>
        <v>0</v>
      </c>
      <c r="J51" s="12">
        <f t="shared" si="40"/>
        <v>0</v>
      </c>
      <c r="K51" s="12">
        <f t="shared" si="40"/>
        <v>0</v>
      </c>
      <c r="L51" s="12">
        <f t="shared" si="40"/>
        <v>0</v>
      </c>
      <c r="M51" s="12">
        <f t="shared" si="40"/>
        <v>0</v>
      </c>
      <c r="N51" s="12">
        <f t="shared" si="40"/>
        <v>0</v>
      </c>
      <c r="O51" s="12">
        <f t="shared" si="40"/>
        <v>0</v>
      </c>
      <c r="P51" s="12">
        <f t="shared" si="40"/>
        <v>0</v>
      </c>
      <c r="Q51" s="12">
        <f t="shared" si="40"/>
        <v>0</v>
      </c>
      <c r="R51" s="12">
        <f t="shared" si="40"/>
        <v>0</v>
      </c>
      <c r="S51" s="12">
        <f t="shared" si="40"/>
        <v>0</v>
      </c>
      <c r="T51" s="12">
        <f t="shared" si="40"/>
        <v>0</v>
      </c>
      <c r="U51" s="12">
        <f t="shared" si="40"/>
        <v>0</v>
      </c>
      <c r="V51" s="12">
        <f t="shared" si="40"/>
        <v>0</v>
      </c>
      <c r="W51" s="12">
        <f t="shared" si="40"/>
        <v>0</v>
      </c>
      <c r="X51" s="12">
        <f t="shared" si="40"/>
        <v>0</v>
      </c>
      <c r="Y51" s="12">
        <f t="shared" si="40"/>
        <v>0</v>
      </c>
      <c r="Z51" s="12">
        <f t="shared" si="40"/>
        <v>0</v>
      </c>
      <c r="AA51" s="12">
        <f t="shared" si="40"/>
        <v>0</v>
      </c>
      <c r="AB51" s="12">
        <f t="shared" si="40"/>
        <v>0</v>
      </c>
      <c r="AC51" s="12">
        <f t="shared" si="40"/>
        <v>0</v>
      </c>
      <c r="AD51" s="12">
        <f t="shared" si="40"/>
        <v>0</v>
      </c>
      <c r="AE51" s="12">
        <f t="shared" si="40"/>
        <v>0</v>
      </c>
      <c r="AF51" s="12">
        <f t="shared" si="40"/>
        <v>0</v>
      </c>
      <c r="AG51" s="12">
        <f t="shared" si="40"/>
        <v>0</v>
      </c>
      <c r="AH51" s="12">
        <f>SUM(AH41:AH50)</f>
        <v>234</v>
      </c>
      <c r="AI51" s="12"/>
    </row>
    <row r="52" spans="1:35" ht="16.5" customHeight="1">
      <c r="A52" s="13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</row>
    <row r="53" spans="1:35" ht="16.5" customHeight="1">
      <c r="A53" s="7" t="s">
        <v>26</v>
      </c>
      <c r="B53" s="7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5"/>
    </row>
    <row r="54" spans="1:35" ht="16.5" customHeight="1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5"/>
    </row>
    <row r="55" spans="1:35" ht="16.5" customHeight="1">
      <c r="A55" s="14"/>
      <c r="B55" s="14"/>
      <c r="C55" s="66">
        <f>AH51</f>
        <v>234</v>
      </c>
      <c r="D55" s="86"/>
      <c r="E55" s="14" t="s">
        <v>27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5"/>
    </row>
    <row r="56" spans="1:35" ht="16.5" customHeight="1">
      <c r="A56" s="14"/>
      <c r="B56" s="14"/>
      <c r="C56" s="67">
        <v>1.08</v>
      </c>
      <c r="D56" s="86"/>
      <c r="E56" s="14" t="s">
        <v>28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5"/>
    </row>
    <row r="57" spans="1:35" ht="16.5" customHeight="1">
      <c r="A57" s="14"/>
      <c r="B57" s="14"/>
      <c r="C57" s="68">
        <f>C56*C55</f>
        <v>252.72000000000003</v>
      </c>
      <c r="D57" s="86"/>
      <c r="E57" s="16" t="s">
        <v>29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5"/>
    </row>
    <row r="58" spans="1:35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AG58" s="2"/>
      <c r="AH58" s="2"/>
    </row>
    <row r="59" spans="1:35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76" t="s">
        <v>30</v>
      </c>
      <c r="V59" s="77"/>
      <c r="W59" s="77"/>
      <c r="X59" s="77"/>
      <c r="Y59" s="77"/>
      <c r="Z59" s="77"/>
      <c r="AA59" s="77"/>
      <c r="AB59" s="77"/>
      <c r="AC59" s="77"/>
      <c r="AD59" s="22"/>
      <c r="AE59" s="21"/>
      <c r="AF59" s="21"/>
      <c r="AG59" s="2"/>
      <c r="AH59" s="2"/>
    </row>
    <row r="60" spans="1:3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61" t="s">
        <v>31</v>
      </c>
      <c r="V60" s="62"/>
      <c r="W60" s="62"/>
      <c r="X60" s="62"/>
      <c r="Y60" s="62"/>
      <c r="Z60" s="62"/>
      <c r="AA60" s="63">
        <f>C36</f>
        <v>333.88</v>
      </c>
      <c r="AB60" s="63"/>
      <c r="AC60" s="63"/>
      <c r="AD60" s="23"/>
      <c r="AF60" s="21"/>
      <c r="AG60" s="2"/>
      <c r="AH60" s="2"/>
    </row>
    <row r="61" spans="1:3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1" t="s">
        <v>32</v>
      </c>
      <c r="V61" s="62"/>
      <c r="W61" s="62"/>
      <c r="X61" s="62"/>
      <c r="Y61" s="62"/>
      <c r="Z61" s="62"/>
      <c r="AA61" s="63">
        <f>C57</f>
        <v>252.72000000000003</v>
      </c>
      <c r="AB61" s="63"/>
      <c r="AC61" s="63"/>
      <c r="AD61" s="23"/>
      <c r="AF61" s="21"/>
      <c r="AG61" s="2"/>
      <c r="AH61" s="2"/>
    </row>
    <row r="62" spans="1:35" ht="24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72" t="s">
        <v>33</v>
      </c>
      <c r="V62" s="73"/>
      <c r="W62" s="73"/>
      <c r="X62" s="73"/>
      <c r="Y62" s="73"/>
      <c r="Z62" s="73"/>
      <c r="AA62" s="74">
        <f>SUM(AA60:AC61)</f>
        <v>586.6</v>
      </c>
      <c r="AB62" s="74"/>
      <c r="AC62" s="75"/>
      <c r="AE62" s="21"/>
      <c r="AF62" s="21"/>
      <c r="AG62" s="2"/>
      <c r="AH62" s="2"/>
    </row>
    <row r="63" spans="1:35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17"/>
      <c r="AE63" s="17"/>
      <c r="AF63" s="17"/>
      <c r="AG63" s="2"/>
      <c r="AH63" s="2"/>
    </row>
    <row r="64" spans="1:35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</row>
    <row r="264" spans="1:3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</row>
    <row r="265" spans="1:34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</row>
    <row r="266" spans="1:34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 spans="1:34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 spans="1:34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</row>
    <row r="269" spans="1:34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</row>
    <row r="270" spans="1:34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</row>
    <row r="271" spans="1:34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</row>
    <row r="272" spans="1:34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</row>
    <row r="273" spans="1:34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</row>
    <row r="274" spans="1:3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</row>
    <row r="275" spans="1:34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</row>
    <row r="276" spans="1:34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 spans="1:34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 spans="1:34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 spans="1:34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 spans="1:34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 spans="1:34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 spans="1:34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 spans="1:34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 spans="1:3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 spans="1:34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 spans="1:34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 spans="1:34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 spans="1:34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 spans="1:34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 spans="1:34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 spans="1:34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 spans="1:34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 spans="1:34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 spans="1:3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 spans="1:34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 spans="1:34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 spans="1:34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 spans="1:34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 spans="1:34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 spans="1:34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 spans="1:34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 spans="1:34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 spans="1:34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 spans="1:3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 spans="1:34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 spans="1:34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 spans="1:34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 spans="1:34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 spans="1:34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 spans="1:34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 spans="1:34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 spans="1:34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 spans="1:34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 spans="1:3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 spans="1:34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 spans="1:34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 spans="1:34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 spans="1:34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 spans="1:34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 spans="1:34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 spans="1:34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 spans="1:34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 spans="1:34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 spans="1:3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 spans="1:34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 spans="1:34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 spans="1:34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 spans="1:34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 spans="1:34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 spans="1:34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 spans="1:34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 spans="1:34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 spans="1:34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 spans="1: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 spans="1:34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 spans="1:34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 spans="1:34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 spans="1:34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 spans="1:34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 spans="1:34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 spans="1:34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 spans="1:34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 spans="1:34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 spans="1:3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 spans="1:34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 spans="1:34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 spans="1:34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 spans="1:34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 spans="1:34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 spans="1:34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 spans="1:34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 spans="1:34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 spans="1:34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 spans="1:3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 spans="1:34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 spans="1:34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 spans="1:34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 spans="1:34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 spans="1:34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 spans="1:34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 spans="1:34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 spans="1:34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 spans="1:34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 spans="1:3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 spans="1:34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 spans="1:34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 spans="1:34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 spans="1:34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 spans="1:34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 spans="1:34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 spans="1:34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 spans="1:34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 spans="1:34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 spans="1:3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 spans="1:34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 spans="1:34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 spans="1:34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 spans="1:34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 spans="1:34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 spans="1:34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 spans="1:34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 spans="1:34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 spans="1:34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 spans="1:3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 spans="1:34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 spans="1:34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 spans="1:34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 spans="1:34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 spans="1:34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 spans="1:34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 spans="1:34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 spans="1:34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 spans="1:34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 spans="1:3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 spans="1:34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 spans="1:34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 spans="1:34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 spans="1:34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 spans="1:34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 spans="1:34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 spans="1:34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 spans="1:34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 spans="1:34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 spans="1:3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 spans="1:34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 spans="1:34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 spans="1:34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 spans="1:34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 spans="1:34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 spans="1:34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 spans="1:34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 spans="1:34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 spans="1:34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 spans="1:3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 spans="1:34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 spans="1:34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 spans="1:34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 spans="1:34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 spans="1:34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 spans="1:34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 spans="1:34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 spans="1:34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 spans="1:34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 spans="1:3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 spans="1:34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 spans="1:34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 spans="1:34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 spans="1:34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 spans="1:34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 spans="1:34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 spans="1:34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 spans="1:34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 spans="1:34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 spans="1: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 spans="1:34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 spans="1:34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437" spans="1:34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</row>
    <row r="438" spans="1:34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</row>
    <row r="439" spans="1:34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</row>
    <row r="440" spans="1:34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</row>
    <row r="441" spans="1:34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 spans="1:34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 spans="1:34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 spans="1:3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</row>
    <row r="445" spans="1:34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</row>
    <row r="446" spans="1:34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</row>
    <row r="447" spans="1:34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</row>
    <row r="448" spans="1:34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</row>
    <row r="449" spans="1:34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</row>
    <row r="450" spans="1:34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</row>
    <row r="451" spans="1:34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</row>
    <row r="452" spans="1:34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</row>
    <row r="453" spans="1:34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</row>
    <row r="454" spans="1:3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 spans="1:34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 spans="1:34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</row>
    <row r="457" spans="1:34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</row>
    <row r="458" spans="1:34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</row>
    <row r="459" spans="1:34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</row>
    <row r="460" spans="1:34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</row>
    <row r="461" spans="1:34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</row>
    <row r="462" spans="1:34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</row>
    <row r="463" spans="1:34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</row>
    <row r="464" spans="1:3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</row>
    <row r="465" spans="1:34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</row>
    <row r="466" spans="1:34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</row>
    <row r="467" spans="1:34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</row>
    <row r="468" spans="1:34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 spans="1:34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 spans="1:34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</row>
    <row r="471" spans="1:34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</row>
    <row r="472" spans="1:34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</row>
    <row r="473" spans="1:34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</row>
    <row r="474" spans="1:3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</row>
    <row r="475" spans="1:34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 spans="1:34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</row>
    <row r="477" spans="1:34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</row>
    <row r="478" spans="1:34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</row>
    <row r="479" spans="1:34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</row>
    <row r="480" spans="1:34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</row>
    <row r="481" spans="1:34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</row>
    <row r="482" spans="1:34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</row>
    <row r="483" spans="1:34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</row>
    <row r="484" spans="1:3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</row>
    <row r="485" spans="1:34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</row>
    <row r="486" spans="1:34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 spans="1:34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 spans="1:34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</row>
    <row r="489" spans="1:34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</row>
    <row r="490" spans="1:34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</row>
    <row r="491" spans="1:34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</row>
    <row r="492" spans="1:34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</row>
    <row r="493" spans="1:34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</row>
    <row r="494" spans="1:3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</row>
    <row r="495" spans="1:34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</row>
    <row r="496" spans="1:34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</row>
    <row r="497" spans="1:34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</row>
    <row r="498" spans="1:34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</row>
    <row r="499" spans="1:34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</row>
    <row r="500" spans="1:34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</row>
    <row r="501" spans="1:34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</row>
    <row r="502" spans="1:34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</row>
    <row r="503" spans="1:34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</row>
    <row r="504" spans="1:3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</row>
    <row r="505" spans="1:34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</row>
    <row r="506" spans="1:34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</row>
    <row r="507" spans="1:34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</row>
    <row r="508" spans="1:34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</row>
    <row r="509" spans="1:34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</row>
    <row r="510" spans="1:34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</row>
    <row r="511" spans="1:34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</row>
    <row r="512" spans="1:34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 spans="1:34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</row>
    <row r="514" spans="1:3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</row>
    <row r="515" spans="1:34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</row>
    <row r="516" spans="1:34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</row>
    <row r="517" spans="1:34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</row>
    <row r="518" spans="1:34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</row>
    <row r="519" spans="1:34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 spans="1:34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</row>
    <row r="521" spans="1:34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</row>
    <row r="522" spans="1:34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</row>
    <row r="523" spans="1:34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</row>
    <row r="524" spans="1:3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</row>
    <row r="525" spans="1:34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 spans="1:34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</row>
    <row r="527" spans="1:34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</row>
    <row r="528" spans="1:34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</row>
    <row r="529" spans="1:34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</row>
    <row r="530" spans="1:34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 spans="1:34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 spans="1:34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</row>
    <row r="533" spans="1:34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</row>
    <row r="534" spans="1: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</row>
    <row r="535" spans="1:34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</row>
    <row r="536" spans="1:34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</row>
    <row r="537" spans="1:34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 spans="1:34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</row>
    <row r="539" spans="1:34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</row>
    <row r="540" spans="1:34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</row>
    <row r="541" spans="1:34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</row>
    <row r="542" spans="1:34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</row>
    <row r="543" spans="1:34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</row>
    <row r="544" spans="1:3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</row>
    <row r="545" spans="1:34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</row>
    <row r="546" spans="1:34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</row>
    <row r="547" spans="1:34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</row>
    <row r="548" spans="1:34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</row>
    <row r="549" spans="1:34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</row>
    <row r="550" spans="1:34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</row>
    <row r="551" spans="1:34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</row>
    <row r="552" spans="1:34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</row>
    <row r="553" spans="1:34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</row>
    <row r="554" spans="1:3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</row>
    <row r="555" spans="1:34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</row>
    <row r="556" spans="1:34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</row>
    <row r="557" spans="1:34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</row>
    <row r="558" spans="1:34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</row>
    <row r="559" spans="1:34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</row>
    <row r="560" spans="1:34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</row>
    <row r="561" spans="1:34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</row>
    <row r="562" spans="1:34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</row>
    <row r="563" spans="1:34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</row>
    <row r="564" spans="1:3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</row>
    <row r="565" spans="1:34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</row>
    <row r="566" spans="1:34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</row>
    <row r="567" spans="1:34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</row>
    <row r="568" spans="1:34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</row>
    <row r="569" spans="1:34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</row>
    <row r="570" spans="1:34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</row>
    <row r="571" spans="1:34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</row>
    <row r="572" spans="1:34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</row>
    <row r="573" spans="1:34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</row>
    <row r="574" spans="1:3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 spans="1:34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 spans="1:34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</row>
    <row r="577" spans="1:34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</row>
    <row r="578" spans="1:34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</row>
    <row r="579" spans="1:34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</row>
    <row r="580" spans="1:34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</row>
    <row r="581" spans="1:34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</row>
    <row r="582" spans="1:34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</row>
    <row r="583" spans="1:34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</row>
    <row r="584" spans="1:3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</row>
    <row r="585" spans="1:34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</row>
    <row r="586" spans="1:34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</row>
    <row r="587" spans="1:34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</row>
    <row r="588" spans="1:34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</row>
    <row r="589" spans="1:34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</row>
    <row r="590" spans="1:34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</row>
    <row r="591" spans="1:34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</row>
    <row r="592" spans="1:34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</row>
    <row r="593" spans="1:34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</row>
    <row r="594" spans="1:3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</row>
    <row r="595" spans="1:34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</row>
    <row r="596" spans="1:34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</row>
    <row r="597" spans="1:34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</row>
    <row r="598" spans="1:34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</row>
    <row r="599" spans="1:34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</row>
    <row r="600" spans="1:34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</row>
    <row r="601" spans="1:34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</row>
    <row r="602" spans="1:34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</row>
    <row r="603" spans="1:34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</row>
    <row r="604" spans="1:3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</row>
    <row r="605" spans="1:34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</row>
    <row r="606" spans="1:34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</row>
    <row r="607" spans="1:34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</row>
    <row r="608" spans="1:34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</row>
    <row r="609" spans="1:34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</row>
    <row r="610" spans="1:34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</row>
    <row r="611" spans="1:34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</row>
    <row r="612" spans="1:34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</row>
    <row r="613" spans="1:34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</row>
    <row r="614" spans="1:3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</row>
    <row r="615" spans="1:34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</row>
    <row r="616" spans="1:34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</row>
    <row r="617" spans="1:34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</row>
    <row r="618" spans="1:34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 spans="1:34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 spans="1:34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</row>
    <row r="621" spans="1:34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</row>
    <row r="622" spans="1:34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</row>
    <row r="623" spans="1:34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</row>
    <row r="624" spans="1:3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</row>
    <row r="625" spans="1:34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</row>
    <row r="626" spans="1:34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</row>
    <row r="627" spans="1:34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</row>
    <row r="628" spans="1:34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</row>
    <row r="629" spans="1:34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</row>
    <row r="630" spans="1:34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</row>
    <row r="631" spans="1:34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</row>
    <row r="632" spans="1:34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</row>
    <row r="633" spans="1:34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</row>
    <row r="634" spans="1: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</row>
    <row r="635" spans="1:34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</row>
    <row r="636" spans="1:34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</row>
    <row r="637" spans="1:34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</row>
    <row r="638" spans="1:34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</row>
    <row r="639" spans="1:34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</row>
    <row r="640" spans="1:34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</row>
    <row r="641" spans="1:34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</row>
    <row r="642" spans="1:34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</row>
    <row r="643" spans="1:34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</row>
    <row r="644" spans="1:3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</row>
    <row r="645" spans="1:34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</row>
    <row r="646" spans="1:34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</row>
    <row r="647" spans="1:34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</row>
    <row r="648" spans="1:34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</row>
    <row r="649" spans="1:34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</row>
    <row r="650" spans="1:34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</row>
    <row r="651" spans="1:34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</row>
    <row r="652" spans="1:34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</row>
    <row r="653" spans="1:34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</row>
    <row r="654" spans="1:3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</row>
    <row r="655" spans="1:34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</row>
    <row r="656" spans="1:34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</row>
    <row r="657" spans="1:34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</row>
    <row r="658" spans="1:34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</row>
    <row r="659" spans="1:34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</row>
    <row r="660" spans="1:34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</row>
    <row r="661" spans="1:34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</row>
    <row r="662" spans="1:34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 spans="1:34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 spans="1:3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</row>
    <row r="665" spans="1:34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</row>
    <row r="666" spans="1:34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</row>
    <row r="667" spans="1:34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</row>
    <row r="668" spans="1:34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</row>
    <row r="669" spans="1:34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</row>
    <row r="670" spans="1:34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</row>
    <row r="671" spans="1:34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</row>
    <row r="672" spans="1:34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</row>
    <row r="673" spans="1:34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</row>
    <row r="674" spans="1:3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</row>
    <row r="675" spans="1:34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</row>
    <row r="676" spans="1:34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</row>
    <row r="677" spans="1:34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</row>
    <row r="678" spans="1:34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</row>
    <row r="679" spans="1:34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</row>
    <row r="680" spans="1:34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</row>
    <row r="681" spans="1:34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</row>
    <row r="682" spans="1:34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</row>
    <row r="683" spans="1:34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</row>
    <row r="684" spans="1:3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</row>
    <row r="685" spans="1:34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</row>
    <row r="686" spans="1:34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</row>
    <row r="687" spans="1:34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</row>
    <row r="688" spans="1:34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</row>
    <row r="689" spans="1:34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</row>
    <row r="690" spans="1:34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</row>
    <row r="691" spans="1:34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</row>
    <row r="692" spans="1:34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</row>
    <row r="693" spans="1:34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</row>
    <row r="694" spans="1:3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</row>
    <row r="695" spans="1:34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</row>
    <row r="696" spans="1:34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</row>
    <row r="697" spans="1:34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</row>
    <row r="698" spans="1:34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</row>
    <row r="699" spans="1:34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</row>
    <row r="700" spans="1:34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</row>
    <row r="701" spans="1:34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</row>
    <row r="702" spans="1:34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</row>
    <row r="703" spans="1:34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</row>
    <row r="704" spans="1:3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</row>
    <row r="705" spans="1:34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</row>
    <row r="706" spans="1:34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 spans="1:34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 spans="1:34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</row>
    <row r="709" spans="1:34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</row>
    <row r="710" spans="1:34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</row>
    <row r="711" spans="1:34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</row>
    <row r="712" spans="1:34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</row>
    <row r="713" spans="1:34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</row>
    <row r="714" spans="1:3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</row>
    <row r="715" spans="1:34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</row>
    <row r="716" spans="1:34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</row>
    <row r="717" spans="1:34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</row>
    <row r="718" spans="1:34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</row>
    <row r="719" spans="1:34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</row>
    <row r="720" spans="1:34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</row>
    <row r="721" spans="1:34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</row>
    <row r="722" spans="1:34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</row>
    <row r="723" spans="1:34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</row>
    <row r="724" spans="1:3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</row>
    <row r="725" spans="1:34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</row>
    <row r="726" spans="1:34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</row>
    <row r="727" spans="1:34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</row>
    <row r="728" spans="1:34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</row>
    <row r="729" spans="1:34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</row>
    <row r="730" spans="1:34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</row>
    <row r="731" spans="1:34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</row>
    <row r="732" spans="1:34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</row>
    <row r="733" spans="1:34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</row>
    <row r="734" spans="1: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</row>
    <row r="735" spans="1:34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</row>
    <row r="736" spans="1:34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</row>
    <row r="737" spans="1:34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</row>
    <row r="738" spans="1:34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</row>
    <row r="739" spans="1:34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</row>
    <row r="740" spans="1:34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</row>
    <row r="741" spans="1:34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</row>
    <row r="742" spans="1:34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</row>
    <row r="743" spans="1:34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</row>
    <row r="744" spans="1:3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</row>
    <row r="745" spans="1:34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</row>
    <row r="746" spans="1:34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</row>
    <row r="747" spans="1:34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</row>
    <row r="748" spans="1:34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</row>
    <row r="749" spans="1:34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</row>
    <row r="750" spans="1:34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 spans="1:34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 spans="1:34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</row>
    <row r="753" spans="1:34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</row>
    <row r="754" spans="1:3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</row>
    <row r="755" spans="1:34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</row>
    <row r="756" spans="1:34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</row>
    <row r="757" spans="1:34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</row>
    <row r="758" spans="1:34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</row>
    <row r="759" spans="1:34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</row>
    <row r="760" spans="1:34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</row>
    <row r="761" spans="1:34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</row>
    <row r="762" spans="1:34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</row>
    <row r="763" spans="1:34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</row>
    <row r="764" spans="1:3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</row>
    <row r="765" spans="1:34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</row>
    <row r="766" spans="1:34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</row>
    <row r="767" spans="1:34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</row>
    <row r="768" spans="1:34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</row>
    <row r="769" spans="1:34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</row>
    <row r="770" spans="1:34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</row>
    <row r="771" spans="1:34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</row>
    <row r="772" spans="1:34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</row>
    <row r="773" spans="1:34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</row>
    <row r="774" spans="1:3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</row>
    <row r="775" spans="1:34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</row>
    <row r="776" spans="1:34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</row>
    <row r="777" spans="1:34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</row>
    <row r="778" spans="1:34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</row>
    <row r="779" spans="1:34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</row>
    <row r="780" spans="1:34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</row>
    <row r="781" spans="1:34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</row>
    <row r="782" spans="1:34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</row>
    <row r="783" spans="1:34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</row>
    <row r="784" spans="1:3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</row>
    <row r="785" spans="1:34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</row>
    <row r="786" spans="1:34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</row>
    <row r="787" spans="1:34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</row>
    <row r="788" spans="1:34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</row>
    <row r="789" spans="1:34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</row>
    <row r="790" spans="1:34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</row>
    <row r="791" spans="1:34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</row>
    <row r="792" spans="1:34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</row>
    <row r="793" spans="1:34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</row>
    <row r="794" spans="1:3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 spans="1:34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 spans="1:34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</row>
    <row r="797" spans="1:34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</row>
    <row r="798" spans="1:34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</row>
    <row r="799" spans="1:34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</row>
    <row r="800" spans="1:34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</row>
    <row r="801" spans="1:34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</row>
    <row r="802" spans="1:34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</row>
    <row r="803" spans="1:34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</row>
    <row r="804" spans="1:3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</row>
    <row r="805" spans="1:34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</row>
    <row r="806" spans="1:34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</row>
    <row r="807" spans="1:34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</row>
    <row r="808" spans="1:34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</row>
    <row r="809" spans="1:34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</row>
    <row r="810" spans="1:34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</row>
    <row r="811" spans="1:34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</row>
    <row r="812" spans="1:34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</row>
    <row r="813" spans="1:34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</row>
    <row r="814" spans="1:3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</row>
    <row r="815" spans="1:34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</row>
    <row r="816" spans="1:34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</row>
    <row r="817" spans="1:34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</row>
    <row r="818" spans="1:34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</row>
    <row r="819" spans="1:34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</row>
    <row r="820" spans="1:34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</row>
    <row r="821" spans="1:34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</row>
    <row r="822" spans="1:34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</row>
    <row r="823" spans="1:34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</row>
    <row r="824" spans="1:3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</row>
    <row r="825" spans="1:34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</row>
    <row r="826" spans="1:34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</row>
    <row r="827" spans="1:34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</row>
    <row r="828" spans="1:34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</row>
    <row r="829" spans="1:34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</row>
    <row r="830" spans="1:34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</row>
    <row r="831" spans="1:34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</row>
    <row r="832" spans="1:34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</row>
    <row r="833" spans="1:34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</row>
    <row r="834" spans="1: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</row>
    <row r="835" spans="1:34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</row>
    <row r="836" spans="1:34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</row>
    <row r="837" spans="1:34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</row>
    <row r="838" spans="1:34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 spans="1:34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 spans="1:34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</row>
    <row r="841" spans="1:34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</row>
    <row r="842" spans="1:34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</row>
    <row r="843" spans="1:34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</row>
    <row r="844" spans="1:3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</row>
    <row r="845" spans="1:34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</row>
    <row r="846" spans="1:34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</row>
    <row r="847" spans="1:34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</row>
    <row r="848" spans="1:34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</row>
    <row r="849" spans="1:34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</row>
    <row r="850" spans="1:34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</row>
    <row r="851" spans="1:34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</row>
    <row r="852" spans="1:34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</row>
    <row r="853" spans="1:34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</row>
    <row r="854" spans="1:3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</row>
    <row r="855" spans="1:34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</row>
    <row r="856" spans="1:34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</row>
    <row r="857" spans="1:34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</row>
    <row r="858" spans="1:34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</row>
    <row r="859" spans="1:34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</row>
    <row r="860" spans="1:34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</row>
    <row r="861" spans="1:34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</row>
    <row r="862" spans="1:34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</row>
    <row r="863" spans="1:34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</row>
    <row r="864" spans="1:3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</row>
    <row r="865" spans="1:34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</row>
    <row r="866" spans="1:34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</row>
    <row r="867" spans="1:34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</row>
    <row r="868" spans="1:34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</row>
    <row r="869" spans="1:34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</row>
    <row r="870" spans="1:34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</row>
    <row r="871" spans="1:34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</row>
    <row r="872" spans="1:34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</row>
    <row r="873" spans="1:34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</row>
    <row r="874" spans="1:3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</row>
    <row r="875" spans="1:34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</row>
    <row r="876" spans="1:34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</row>
    <row r="877" spans="1:34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</row>
    <row r="878" spans="1:34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</row>
    <row r="879" spans="1:34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</row>
    <row r="880" spans="1:34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</row>
    <row r="881" spans="1:34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</row>
    <row r="882" spans="1:34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 spans="1:34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 spans="1:3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</row>
    <row r="885" spans="1:34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</row>
    <row r="886" spans="1:34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</row>
    <row r="887" spans="1:34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</row>
    <row r="888" spans="1:34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</row>
    <row r="889" spans="1:34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</row>
    <row r="890" spans="1:34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</row>
    <row r="891" spans="1:34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</row>
    <row r="892" spans="1:34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</row>
    <row r="893" spans="1:34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</row>
    <row r="894" spans="1:3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</row>
    <row r="895" spans="1:34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</row>
    <row r="896" spans="1:34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</row>
    <row r="897" spans="1:34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</row>
    <row r="898" spans="1:34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</row>
    <row r="899" spans="1:34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</row>
    <row r="900" spans="1:34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</row>
    <row r="901" spans="1:34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</row>
    <row r="902" spans="1:34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</row>
    <row r="903" spans="1:34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</row>
    <row r="904" spans="1:3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</row>
    <row r="905" spans="1:34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</row>
    <row r="906" spans="1:34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</row>
    <row r="907" spans="1:34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</row>
    <row r="908" spans="1:34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</row>
    <row r="909" spans="1:34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</row>
    <row r="910" spans="1:34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</row>
    <row r="911" spans="1:34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</row>
    <row r="912" spans="1:34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</row>
    <row r="913" spans="1:34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</row>
    <row r="914" spans="1:3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</row>
    <row r="915" spans="1:34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</row>
    <row r="916" spans="1:34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</row>
    <row r="917" spans="1:34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</row>
    <row r="918" spans="1:34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</row>
    <row r="919" spans="1:34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</row>
    <row r="920" spans="1:34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</row>
    <row r="921" spans="1:34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</row>
    <row r="922" spans="1:34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</row>
    <row r="923" spans="1:34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</row>
    <row r="924" spans="1:3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</row>
    <row r="925" spans="1:34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</row>
    <row r="926" spans="1:34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</row>
    <row r="927" spans="1:34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</row>
    <row r="928" spans="1:34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</row>
    <row r="929" spans="1:34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</row>
    <row r="930" spans="1:34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</row>
    <row r="931" spans="1:34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</row>
    <row r="932" spans="1:34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</row>
    <row r="933" spans="1:34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</row>
    <row r="934" spans="1: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</row>
    <row r="935" spans="1:34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</row>
    <row r="936" spans="1:34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</row>
    <row r="937" spans="1:34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</row>
    <row r="938" spans="1:34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</row>
    <row r="939" spans="1:34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</row>
    <row r="940" spans="1:34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</row>
    <row r="941" spans="1:34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</row>
    <row r="942" spans="1:34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</row>
    <row r="943" spans="1:34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</row>
    <row r="944" spans="1:3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</row>
    <row r="945" spans="1:34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</row>
    <row r="946" spans="1:34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</row>
    <row r="947" spans="1:34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</row>
    <row r="948" spans="1:34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</row>
    <row r="949" spans="1:34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</row>
    <row r="950" spans="1:34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</row>
    <row r="951" spans="1:34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</row>
    <row r="952" spans="1:34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</row>
    <row r="953" spans="1:34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</row>
    <row r="954" spans="1:3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</row>
    <row r="955" spans="1:34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</row>
    <row r="956" spans="1:34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</row>
    <row r="957" spans="1:34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</row>
    <row r="958" spans="1:34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</row>
    <row r="959" spans="1:34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</row>
    <row r="960" spans="1:34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</row>
    <row r="961" spans="1:34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</row>
    <row r="962" spans="1:34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</row>
    <row r="963" spans="1:34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</row>
    <row r="964" spans="1:3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</row>
    <row r="965" spans="1:34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</row>
    <row r="966" spans="1:34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</row>
    <row r="967" spans="1:34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</row>
    <row r="968" spans="1:34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</row>
    <row r="969" spans="1:34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</row>
    <row r="970" spans="1:34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</row>
    <row r="971" spans="1:34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</row>
    <row r="972" spans="1:34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</row>
    <row r="973" spans="1:34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</row>
    <row r="974" spans="1:3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</row>
    <row r="975" spans="1:34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</row>
    <row r="976" spans="1:34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</row>
    <row r="977" spans="1:34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</row>
    <row r="978" spans="1:34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</row>
    <row r="979" spans="1:34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</row>
    <row r="980" spans="1:34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</row>
    <row r="981" spans="1:34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</row>
    <row r="982" spans="1:34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</row>
    <row r="983" spans="1:34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</row>
    <row r="984" spans="1:3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</row>
    <row r="985" spans="1:34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</row>
    <row r="986" spans="1:34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</row>
    <row r="987" spans="1:34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</row>
    <row r="988" spans="1:34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</row>
    <row r="989" spans="1:34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</row>
    <row r="990" spans="1:34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</row>
    <row r="991" spans="1:34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</row>
    <row r="992" spans="1:34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</row>
    <row r="993" spans="1:34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</row>
    <row r="994" spans="1:3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</row>
    <row r="995" spans="1:34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</row>
    <row r="996" spans="1:34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</row>
    <row r="997" spans="1:34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</row>
    <row r="998" spans="1:34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</row>
    <row r="999" spans="1:34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</row>
    <row r="1000" spans="1:34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</row>
    <row r="1001" spans="1:34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</row>
    <row r="1002" spans="1:34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</row>
    <row r="1003" spans="1:34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</row>
    <row r="1004" spans="1:3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</row>
    <row r="1005" spans="1:34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</row>
    <row r="1006" spans="1:34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</row>
  </sheetData>
  <sheetProtection sheet="1" objects="1" scenarios="1"/>
  <mergeCells count="26">
    <mergeCell ref="U61:Z61"/>
    <mergeCell ref="U62:Z62"/>
    <mergeCell ref="AA61:AC61"/>
    <mergeCell ref="AA62:AC62"/>
    <mergeCell ref="U59:AC59"/>
    <mergeCell ref="A2:C2"/>
    <mergeCell ref="C39:AG39"/>
    <mergeCell ref="C55:D55"/>
    <mergeCell ref="C56:D56"/>
    <mergeCell ref="C57:D57"/>
    <mergeCell ref="C8:AG8"/>
    <mergeCell ref="C34:D34"/>
    <mergeCell ref="C35:D35"/>
    <mergeCell ref="C36:D36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U60:Z60"/>
    <mergeCell ref="AA60:AC60"/>
  </mergeCells>
  <phoneticPr fontId="15" type="noConversion"/>
  <conditionalFormatting sqref="A2:B2">
    <cfRule type="expression" dxfId="7" priority="3" stopIfTrue="1">
      <formula>DAY(A2)&lt;&gt;1</formula>
    </cfRule>
  </conditionalFormatting>
  <conditionalFormatting sqref="C9:AG29">
    <cfRule type="expression" dxfId="6" priority="1" stopIfTrue="1">
      <formula>OR(WEEKDAY(C$40)=7,WEEKDAY(C$40)=1)</formula>
    </cfRule>
    <cfRule type="expression" dxfId="5" priority="2" stopIfTrue="1">
      <formula>ISERROR(VALUE(C$40))</formula>
    </cfRule>
  </conditionalFormatting>
  <conditionalFormatting sqref="C40:AG50">
    <cfRule type="expression" dxfId="4" priority="4" stopIfTrue="1">
      <formula>OR(WEEKDAY(C$40)=7,WEEKDAY(C$40)=1)</formula>
    </cfRule>
    <cfRule type="expression" dxfId="3" priority="5" stopIfTrue="1">
      <formula>ISERROR(VALUE(C$40))</formula>
    </cfRule>
  </conditionalFormatting>
  <printOptions horizontalCentered="1"/>
  <pageMargins left="0.25" right="0.25" top="0.25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DC0D-FA8D-4486-B2E1-F479A0CA4804}">
  <sheetPr>
    <pageSetUpPr fitToPage="1"/>
  </sheetPr>
  <dimension ref="A1:AP978"/>
  <sheetViews>
    <sheetView topLeftCell="A27" workbookViewId="0">
      <selection activeCell="G9" sqref="G9"/>
    </sheetView>
  </sheetViews>
  <sheetFormatPr defaultColWidth="12.5703125" defaultRowHeight="15" customHeight="1"/>
  <cols>
    <col min="1" max="1" width="5" style="27" customWidth="1"/>
    <col min="2" max="2" width="16.140625" style="27" customWidth="1"/>
    <col min="3" max="3" width="19.140625" style="27" customWidth="1"/>
    <col min="4" max="4" width="12" style="27" customWidth="1"/>
    <col min="5" max="5" width="17.7109375" style="27" bestFit="1" customWidth="1"/>
    <col min="6" max="6" width="16.85546875" style="27" customWidth="1"/>
    <col min="7" max="37" width="11.42578125" style="27" customWidth="1"/>
    <col min="38" max="38" width="16.140625" style="27" customWidth="1"/>
    <col min="39" max="39" width="12.5703125" style="27"/>
    <col min="40" max="40" width="12.85546875" style="27" bestFit="1" customWidth="1"/>
    <col min="41" max="41" width="12.85546875" style="27" customWidth="1"/>
    <col min="42" max="16384" width="12.5703125" style="27"/>
  </cols>
  <sheetData>
    <row r="1" spans="1:41" ht="27" customHeight="1">
      <c r="A1" s="24" t="s">
        <v>34</v>
      </c>
      <c r="B1" s="24"/>
      <c r="C1" s="24"/>
      <c r="D1" s="24"/>
      <c r="E1" s="24"/>
      <c r="F1" s="24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6"/>
      <c r="AN1" s="26"/>
      <c r="AO1" s="26"/>
    </row>
    <row r="2" spans="1:41" ht="20.25" customHeight="1">
      <c r="A2" s="79">
        <v>46082</v>
      </c>
      <c r="B2" s="79"/>
      <c r="C2" s="79"/>
      <c r="D2" s="80" t="s">
        <v>35</v>
      </c>
      <c r="E2" s="81"/>
      <c r="F2" s="81"/>
      <c r="G2" s="81"/>
      <c r="H2" s="81"/>
      <c r="I2" s="81"/>
      <c r="J2" s="81"/>
      <c r="K2" s="81"/>
      <c r="L2" s="81"/>
      <c r="M2" s="28"/>
      <c r="N2" s="29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</row>
    <row r="3" spans="1:41" ht="15.75" customHeight="1">
      <c r="A3" s="82" t="s">
        <v>36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30"/>
      <c r="X3" s="30"/>
      <c r="Y3" s="30"/>
      <c r="Z3" s="30"/>
      <c r="AA3" s="30"/>
      <c r="AB3" s="30"/>
      <c r="AC3" s="30"/>
      <c r="AD3" s="30"/>
      <c r="AE3" s="30"/>
      <c r="AI3" s="30"/>
      <c r="AJ3" s="30"/>
      <c r="AK3" s="30"/>
      <c r="AL3" s="30"/>
    </row>
    <row r="4" spans="1:41" ht="16.5" customHeight="1">
      <c r="A4" s="30" t="s">
        <v>37</v>
      </c>
      <c r="C4" s="30"/>
      <c r="D4" s="30"/>
      <c r="E4" s="30"/>
      <c r="F4" s="30"/>
      <c r="G4" s="83" t="s">
        <v>38</v>
      </c>
      <c r="H4" s="83"/>
      <c r="I4" s="30" t="s">
        <v>39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I4" s="30"/>
      <c r="AJ4" s="30"/>
      <c r="AK4" s="30"/>
      <c r="AL4" s="30"/>
    </row>
    <row r="5" spans="1:41" ht="16.5" customHeight="1">
      <c r="A5" s="30"/>
      <c r="C5" s="30"/>
      <c r="D5" s="30"/>
      <c r="E5" s="30"/>
      <c r="G5" s="78" t="s">
        <v>40</v>
      </c>
      <c r="H5" s="7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I5" s="30"/>
      <c r="AJ5" s="30"/>
      <c r="AK5" s="30"/>
      <c r="AL5" s="30"/>
    </row>
    <row r="6" spans="1:41" ht="15.75" customHeight="1">
      <c r="B6" s="32"/>
      <c r="C6" s="32"/>
      <c r="D6" s="32"/>
      <c r="E6" s="32"/>
      <c r="G6" s="31" t="s">
        <v>41</v>
      </c>
      <c r="H6" s="31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I6" s="30"/>
      <c r="AJ6" s="30"/>
      <c r="AK6" s="30"/>
      <c r="AL6" s="30"/>
    </row>
    <row r="7" spans="1:41" ht="15.75" customHeight="1">
      <c r="B7" s="32"/>
      <c r="C7" s="32"/>
      <c r="D7" s="32"/>
      <c r="E7" s="32"/>
      <c r="F7" s="32"/>
      <c r="G7" s="78" t="s">
        <v>42</v>
      </c>
      <c r="H7" s="78"/>
      <c r="I7" s="30" t="s">
        <v>43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I7" s="30"/>
      <c r="AJ7" s="30"/>
      <c r="AK7" s="30"/>
      <c r="AL7" s="30"/>
    </row>
    <row r="8" spans="1:41" ht="15.75" customHeight="1">
      <c r="B8" s="32"/>
      <c r="C8" s="32"/>
      <c r="D8" s="32"/>
      <c r="E8" s="32"/>
      <c r="F8" s="32"/>
      <c r="G8" s="31" t="s">
        <v>44</v>
      </c>
      <c r="H8" s="31"/>
      <c r="I8" s="30" t="s">
        <v>45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I8" s="30"/>
      <c r="AJ8" s="30"/>
      <c r="AK8" s="30"/>
      <c r="AL8" s="30"/>
    </row>
    <row r="9" spans="1:41" ht="15.75" customHeight="1">
      <c r="B9" s="32"/>
      <c r="C9" s="32"/>
      <c r="D9" s="32"/>
      <c r="E9" s="32"/>
      <c r="F9" s="32"/>
      <c r="G9" s="31" t="s">
        <v>46</v>
      </c>
      <c r="H9" s="31"/>
      <c r="I9" s="30" t="s">
        <v>47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I9" s="30"/>
      <c r="AJ9" s="30"/>
      <c r="AK9" s="30"/>
      <c r="AL9" s="30"/>
    </row>
    <row r="10" spans="1:41" ht="16.5" customHeight="1"/>
    <row r="11" spans="1:41" ht="18.75" customHeight="1">
      <c r="A11" s="33" t="s">
        <v>48</v>
      </c>
      <c r="B11" s="34"/>
      <c r="C11" s="35"/>
      <c r="D11" s="35"/>
      <c r="E11" s="35"/>
      <c r="F11" s="3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4"/>
      <c r="AN11" s="37"/>
      <c r="AO11" s="37"/>
    </row>
    <row r="12" spans="1:41" ht="16.5" customHeight="1">
      <c r="A12" s="38" t="s">
        <v>49</v>
      </c>
      <c r="B12" s="39" t="s">
        <v>50</v>
      </c>
      <c r="C12" s="39" t="s">
        <v>51</v>
      </c>
      <c r="D12" s="39" t="s">
        <v>52</v>
      </c>
      <c r="E12" s="39" t="s">
        <v>53</v>
      </c>
      <c r="F12" s="39" t="s">
        <v>54</v>
      </c>
      <c r="G12" s="40">
        <f>+$A$2</f>
        <v>46082</v>
      </c>
      <c r="H12" s="40">
        <f t="shared" ref="H12:AH12" si="0">+G$12+1</f>
        <v>46083</v>
      </c>
      <c r="I12" s="40">
        <f t="shared" si="0"/>
        <v>46084</v>
      </c>
      <c r="J12" s="40">
        <f t="shared" si="0"/>
        <v>46085</v>
      </c>
      <c r="K12" s="40">
        <f t="shared" si="0"/>
        <v>46086</v>
      </c>
      <c r="L12" s="40">
        <f t="shared" si="0"/>
        <v>46087</v>
      </c>
      <c r="M12" s="40">
        <f t="shared" si="0"/>
        <v>46088</v>
      </c>
      <c r="N12" s="40">
        <f t="shared" si="0"/>
        <v>46089</v>
      </c>
      <c r="O12" s="40">
        <f t="shared" si="0"/>
        <v>46090</v>
      </c>
      <c r="P12" s="40">
        <f t="shared" si="0"/>
        <v>46091</v>
      </c>
      <c r="Q12" s="40">
        <f t="shared" si="0"/>
        <v>46092</v>
      </c>
      <c r="R12" s="40">
        <f t="shared" si="0"/>
        <v>46093</v>
      </c>
      <c r="S12" s="40">
        <f t="shared" si="0"/>
        <v>46094</v>
      </c>
      <c r="T12" s="40">
        <f t="shared" si="0"/>
        <v>46095</v>
      </c>
      <c r="U12" s="40">
        <f t="shared" si="0"/>
        <v>46096</v>
      </c>
      <c r="V12" s="40">
        <f t="shared" si="0"/>
        <v>46097</v>
      </c>
      <c r="W12" s="40">
        <f t="shared" si="0"/>
        <v>46098</v>
      </c>
      <c r="X12" s="40">
        <f t="shared" si="0"/>
        <v>46099</v>
      </c>
      <c r="Y12" s="40">
        <f t="shared" si="0"/>
        <v>46100</v>
      </c>
      <c r="Z12" s="40">
        <f t="shared" si="0"/>
        <v>46101</v>
      </c>
      <c r="AA12" s="40">
        <f t="shared" si="0"/>
        <v>46102</v>
      </c>
      <c r="AB12" s="40">
        <f t="shared" si="0"/>
        <v>46103</v>
      </c>
      <c r="AC12" s="40">
        <f t="shared" si="0"/>
        <v>46104</v>
      </c>
      <c r="AD12" s="40">
        <f t="shared" si="0"/>
        <v>46105</v>
      </c>
      <c r="AE12" s="40">
        <f t="shared" si="0"/>
        <v>46106</v>
      </c>
      <c r="AF12" s="40">
        <f t="shared" si="0"/>
        <v>46107</v>
      </c>
      <c r="AG12" s="40">
        <f t="shared" si="0"/>
        <v>46108</v>
      </c>
      <c r="AH12" s="40">
        <f t="shared" si="0"/>
        <v>46109</v>
      </c>
      <c r="AI12" s="40">
        <f>IF(MONTH(+AH$12+1)=MONTH(+$A$2),+AH$12+1,"")</f>
        <v>46110</v>
      </c>
      <c r="AJ12" s="40">
        <f>IF(AI$12="","",IF(MONTH(+AI$12+1)=MONTH(+$A$2),+AI$12+1,""))</f>
        <v>46111</v>
      </c>
      <c r="AK12" s="40">
        <f>IF(AJ$12="","",IF(MONTH(+AJ$12+1)=MONTH(+$A$2),+AJ$12+1,""))</f>
        <v>46112</v>
      </c>
      <c r="AL12" s="41" t="s">
        <v>55</v>
      </c>
      <c r="AM12" s="42" t="s">
        <v>56</v>
      </c>
      <c r="AN12" s="42" t="s">
        <v>57</v>
      </c>
      <c r="AO12" s="42" t="s">
        <v>58</v>
      </c>
    </row>
    <row r="13" spans="1:41" ht="16.5" customHeight="1">
      <c r="A13" s="43">
        <v>1</v>
      </c>
      <c r="B13" s="51" t="s">
        <v>59</v>
      </c>
      <c r="C13" s="44" t="s">
        <v>60</v>
      </c>
      <c r="D13" s="45"/>
      <c r="E13" s="45">
        <v>8</v>
      </c>
      <c r="F13" s="45">
        <v>13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>
        <f t="shared" ref="AL13:AL41" si="1">SUM(G13:AK13)</f>
        <v>0</v>
      </c>
      <c r="AM13" s="43">
        <f t="shared" ref="AM13:AM41" si="2">COUNTIFS(G13:AJ13, "NS")</f>
        <v>0</v>
      </c>
      <c r="AN13" s="43">
        <f t="shared" ref="AN13:AN41" si="3">COUNTIF(G13:AJ13, "C")</f>
        <v>0</v>
      </c>
      <c r="AO13" s="43">
        <f t="shared" ref="AO13:AO41" si="4">COUNTIF(H13:AK13, "X")</f>
        <v>0</v>
      </c>
    </row>
    <row r="14" spans="1:41" ht="16.5" customHeight="1">
      <c r="A14" s="43">
        <v>2</v>
      </c>
      <c r="B14" s="51" t="s">
        <v>61</v>
      </c>
      <c r="C14" s="44" t="s">
        <v>62</v>
      </c>
      <c r="D14" s="45">
        <v>6462344</v>
      </c>
      <c r="E14" s="45">
        <v>5</v>
      </c>
      <c r="F14" s="45">
        <v>21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>
        <f t="shared" si="1"/>
        <v>0</v>
      </c>
      <c r="AM14" s="43">
        <f t="shared" si="2"/>
        <v>0</v>
      </c>
      <c r="AN14" s="43">
        <f t="shared" si="3"/>
        <v>0</v>
      </c>
      <c r="AO14" s="43">
        <f t="shared" si="4"/>
        <v>0</v>
      </c>
    </row>
    <row r="15" spans="1:41" ht="16.5" customHeight="1">
      <c r="A15" s="43">
        <v>3</v>
      </c>
      <c r="B15" s="51" t="s">
        <v>63</v>
      </c>
      <c r="C15" s="44" t="s">
        <v>64</v>
      </c>
      <c r="D15" s="45"/>
      <c r="E15" s="45">
        <v>1</v>
      </c>
      <c r="F15" s="45">
        <v>21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7">
        <f t="shared" si="1"/>
        <v>0</v>
      </c>
      <c r="AM15" s="43">
        <f t="shared" si="2"/>
        <v>0</v>
      </c>
      <c r="AN15" s="43">
        <f t="shared" si="3"/>
        <v>0</v>
      </c>
      <c r="AO15" s="43">
        <f t="shared" si="4"/>
        <v>0</v>
      </c>
    </row>
    <row r="16" spans="1:41" ht="16.5" customHeight="1">
      <c r="A16" s="43">
        <v>4</v>
      </c>
      <c r="B16" s="51" t="s">
        <v>65</v>
      </c>
      <c r="C16" s="44" t="s">
        <v>66</v>
      </c>
      <c r="D16" s="45"/>
      <c r="E16" s="45">
        <v>8</v>
      </c>
      <c r="F16" s="45">
        <v>21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>
        <f t="shared" si="1"/>
        <v>0</v>
      </c>
      <c r="AM16" s="43">
        <f t="shared" si="2"/>
        <v>0</v>
      </c>
      <c r="AN16" s="43">
        <f t="shared" si="3"/>
        <v>0</v>
      </c>
      <c r="AO16" s="43">
        <f t="shared" si="4"/>
        <v>0</v>
      </c>
    </row>
    <row r="17" spans="1:41" ht="16.5" customHeight="1">
      <c r="A17" s="43">
        <v>5</v>
      </c>
      <c r="B17" s="51" t="s">
        <v>67</v>
      </c>
      <c r="C17" s="44" t="s">
        <v>68</v>
      </c>
      <c r="D17" s="45">
        <v>6492828</v>
      </c>
      <c r="E17" s="45">
        <v>7</v>
      </c>
      <c r="F17" s="45">
        <v>10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7">
        <f t="shared" si="1"/>
        <v>0</v>
      </c>
      <c r="AM17" s="43">
        <f t="shared" si="2"/>
        <v>0</v>
      </c>
      <c r="AN17" s="43">
        <f t="shared" si="3"/>
        <v>0</v>
      </c>
      <c r="AO17" s="43">
        <f t="shared" si="4"/>
        <v>0</v>
      </c>
    </row>
    <row r="18" spans="1:41" ht="16.5" customHeight="1">
      <c r="A18" s="43">
        <v>6</v>
      </c>
      <c r="B18" s="48" t="s">
        <v>69</v>
      </c>
      <c r="C18" s="44" t="s">
        <v>70</v>
      </c>
      <c r="D18" s="45"/>
      <c r="E18" s="45">
        <v>2</v>
      </c>
      <c r="F18" s="45">
        <v>21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7">
        <f t="shared" si="1"/>
        <v>0</v>
      </c>
      <c r="AM18" s="43">
        <f t="shared" si="2"/>
        <v>0</v>
      </c>
      <c r="AN18" s="43">
        <f t="shared" si="3"/>
        <v>0</v>
      </c>
      <c r="AO18" s="43">
        <f t="shared" si="4"/>
        <v>0</v>
      </c>
    </row>
    <row r="19" spans="1:41" ht="16.5" customHeight="1">
      <c r="A19" s="43">
        <v>7</v>
      </c>
      <c r="B19" s="48" t="s">
        <v>71</v>
      </c>
      <c r="C19" s="44" t="s">
        <v>72</v>
      </c>
      <c r="D19" s="45">
        <v>6601536</v>
      </c>
      <c r="E19" s="45">
        <v>4</v>
      </c>
      <c r="F19" s="45">
        <v>17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7">
        <f t="shared" si="1"/>
        <v>0</v>
      </c>
      <c r="AM19" s="43">
        <f t="shared" si="2"/>
        <v>0</v>
      </c>
      <c r="AN19" s="43">
        <f t="shared" si="3"/>
        <v>0</v>
      </c>
      <c r="AO19" s="43">
        <f t="shared" si="4"/>
        <v>0</v>
      </c>
    </row>
    <row r="20" spans="1:41" ht="16.5" customHeight="1">
      <c r="A20" s="43">
        <v>8</v>
      </c>
      <c r="B20" s="48" t="s">
        <v>73</v>
      </c>
      <c r="C20" s="44" t="s">
        <v>74</v>
      </c>
      <c r="D20" s="45">
        <v>8215348</v>
      </c>
      <c r="E20" s="45">
        <v>3</v>
      </c>
      <c r="F20" s="45">
        <v>20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7">
        <f t="shared" si="1"/>
        <v>0</v>
      </c>
      <c r="AM20" s="43">
        <f t="shared" si="2"/>
        <v>0</v>
      </c>
      <c r="AN20" s="43">
        <f t="shared" si="3"/>
        <v>0</v>
      </c>
      <c r="AO20" s="43">
        <f t="shared" si="4"/>
        <v>0</v>
      </c>
    </row>
    <row r="21" spans="1:41" ht="16.5" customHeight="1">
      <c r="A21" s="43">
        <v>9</v>
      </c>
      <c r="B21" s="48" t="s">
        <v>75</v>
      </c>
      <c r="C21" s="44" t="s">
        <v>76</v>
      </c>
      <c r="D21" s="45">
        <v>6462820</v>
      </c>
      <c r="E21" s="45">
        <v>2</v>
      </c>
      <c r="F21" s="45">
        <v>19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7">
        <f t="shared" si="1"/>
        <v>0</v>
      </c>
      <c r="AM21" s="43">
        <f t="shared" si="2"/>
        <v>0</v>
      </c>
      <c r="AN21" s="43">
        <f t="shared" si="3"/>
        <v>0</v>
      </c>
      <c r="AO21" s="43">
        <f t="shared" si="4"/>
        <v>0</v>
      </c>
    </row>
    <row r="22" spans="1:41" ht="16.5" customHeight="1">
      <c r="A22" s="43">
        <v>10</v>
      </c>
      <c r="B22" s="48" t="s">
        <v>77</v>
      </c>
      <c r="C22" s="44" t="s">
        <v>78</v>
      </c>
      <c r="D22" s="45"/>
      <c r="E22" s="45">
        <v>9</v>
      </c>
      <c r="F22" s="45">
        <v>21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7">
        <f t="shared" si="1"/>
        <v>0</v>
      </c>
      <c r="AM22" s="43">
        <f t="shared" si="2"/>
        <v>0</v>
      </c>
      <c r="AN22" s="43">
        <f t="shared" si="3"/>
        <v>0</v>
      </c>
      <c r="AO22" s="43">
        <f t="shared" si="4"/>
        <v>0</v>
      </c>
    </row>
    <row r="23" spans="1:41" ht="16.5" customHeight="1">
      <c r="A23" s="43">
        <v>11</v>
      </c>
      <c r="B23" s="48" t="s">
        <v>79</v>
      </c>
      <c r="C23" s="44" t="s">
        <v>80</v>
      </c>
      <c r="D23" s="45">
        <v>8316898</v>
      </c>
      <c r="E23" s="45">
        <v>1</v>
      </c>
      <c r="F23" s="45">
        <v>20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7">
        <f t="shared" si="1"/>
        <v>0</v>
      </c>
      <c r="AM23" s="43">
        <f t="shared" si="2"/>
        <v>0</v>
      </c>
      <c r="AN23" s="43">
        <f t="shared" si="3"/>
        <v>0</v>
      </c>
      <c r="AO23" s="43">
        <f t="shared" si="4"/>
        <v>0</v>
      </c>
    </row>
    <row r="24" spans="1:41" ht="16.5" customHeight="1">
      <c r="A24" s="43">
        <v>12</v>
      </c>
      <c r="B24" s="48" t="s">
        <v>81</v>
      </c>
      <c r="C24" s="44" t="s">
        <v>82</v>
      </c>
      <c r="D24" s="45"/>
      <c r="E24" s="45">
        <v>8</v>
      </c>
      <c r="F24" s="45">
        <v>10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7">
        <f t="shared" si="1"/>
        <v>0</v>
      </c>
      <c r="AM24" s="43">
        <f t="shared" si="2"/>
        <v>0</v>
      </c>
      <c r="AN24" s="43">
        <f t="shared" si="3"/>
        <v>0</v>
      </c>
      <c r="AO24" s="43">
        <f t="shared" si="4"/>
        <v>0</v>
      </c>
    </row>
    <row r="25" spans="1:41" ht="16.5" customHeight="1">
      <c r="A25" s="43">
        <v>13</v>
      </c>
      <c r="B25" s="48" t="s">
        <v>83</v>
      </c>
      <c r="C25" s="44" t="s">
        <v>84</v>
      </c>
      <c r="D25" s="45">
        <v>7722520</v>
      </c>
      <c r="E25" s="45">
        <v>7</v>
      </c>
      <c r="F25" s="45">
        <v>20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>
        <f t="shared" si="1"/>
        <v>0</v>
      </c>
      <c r="AM25" s="43">
        <f t="shared" si="2"/>
        <v>0</v>
      </c>
      <c r="AN25" s="43">
        <f t="shared" si="3"/>
        <v>0</v>
      </c>
      <c r="AO25" s="43">
        <f t="shared" si="4"/>
        <v>0</v>
      </c>
    </row>
    <row r="26" spans="1:41" ht="16.5" customHeight="1">
      <c r="A26" s="43">
        <v>14</v>
      </c>
      <c r="B26" s="48" t="s">
        <v>85</v>
      </c>
      <c r="C26" s="44" t="s">
        <v>86</v>
      </c>
      <c r="D26" s="45">
        <v>5168745</v>
      </c>
      <c r="E26" s="45">
        <v>5</v>
      </c>
      <c r="F26" s="45">
        <v>16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7">
        <f t="shared" si="1"/>
        <v>0</v>
      </c>
      <c r="AM26" s="43">
        <f t="shared" si="2"/>
        <v>0</v>
      </c>
      <c r="AN26" s="43">
        <f t="shared" si="3"/>
        <v>0</v>
      </c>
      <c r="AO26" s="43">
        <f t="shared" si="4"/>
        <v>0</v>
      </c>
    </row>
    <row r="27" spans="1:41" ht="16.5" customHeight="1">
      <c r="A27" s="43">
        <v>15</v>
      </c>
      <c r="B27" s="48" t="s">
        <v>87</v>
      </c>
      <c r="C27" s="44" t="s">
        <v>88</v>
      </c>
      <c r="D27" s="45"/>
      <c r="E27" s="45">
        <v>2</v>
      </c>
      <c r="F27" s="45">
        <v>21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7">
        <f t="shared" si="1"/>
        <v>0</v>
      </c>
      <c r="AM27" s="43">
        <f t="shared" si="2"/>
        <v>0</v>
      </c>
      <c r="AN27" s="43">
        <f t="shared" si="3"/>
        <v>0</v>
      </c>
      <c r="AO27" s="43">
        <f t="shared" si="4"/>
        <v>0</v>
      </c>
    </row>
    <row r="28" spans="1:41" ht="16.5" customHeight="1">
      <c r="A28" s="43">
        <v>16</v>
      </c>
      <c r="B28" s="48" t="s">
        <v>89</v>
      </c>
      <c r="C28" s="44" t="s">
        <v>90</v>
      </c>
      <c r="D28" s="45"/>
      <c r="E28" s="45">
        <v>9</v>
      </c>
      <c r="F28" s="45">
        <v>7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>
        <f t="shared" si="1"/>
        <v>0</v>
      </c>
      <c r="AM28" s="43">
        <f t="shared" si="2"/>
        <v>0</v>
      </c>
      <c r="AN28" s="43">
        <f t="shared" si="3"/>
        <v>0</v>
      </c>
      <c r="AO28" s="43">
        <f t="shared" si="4"/>
        <v>0</v>
      </c>
    </row>
    <row r="29" spans="1:41" ht="16.5" customHeight="1">
      <c r="A29" s="43">
        <v>17</v>
      </c>
      <c r="B29" s="51" t="s">
        <v>91</v>
      </c>
      <c r="C29" s="44" t="s">
        <v>92</v>
      </c>
      <c r="D29" s="45"/>
      <c r="E29" s="45">
        <v>4</v>
      </c>
      <c r="F29" s="45" t="s">
        <v>93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7">
        <f t="shared" si="1"/>
        <v>0</v>
      </c>
      <c r="AM29" s="43">
        <f t="shared" si="2"/>
        <v>0</v>
      </c>
      <c r="AN29" s="43">
        <f t="shared" si="3"/>
        <v>0</v>
      </c>
      <c r="AO29" s="43">
        <f t="shared" si="4"/>
        <v>0</v>
      </c>
    </row>
    <row r="30" spans="1:41" ht="16.5" customHeight="1">
      <c r="A30" s="43">
        <v>18</v>
      </c>
      <c r="B30" s="51" t="s">
        <v>94</v>
      </c>
      <c r="C30" s="44" t="s">
        <v>92</v>
      </c>
      <c r="D30" s="45"/>
      <c r="E30" s="45">
        <v>8</v>
      </c>
      <c r="F30" s="45" t="s">
        <v>93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7">
        <f t="shared" si="1"/>
        <v>0</v>
      </c>
      <c r="AM30" s="43">
        <f t="shared" si="2"/>
        <v>0</v>
      </c>
      <c r="AN30" s="43">
        <f t="shared" si="3"/>
        <v>0</v>
      </c>
      <c r="AO30" s="43">
        <f t="shared" si="4"/>
        <v>0</v>
      </c>
    </row>
    <row r="31" spans="1:41" ht="16.5" customHeight="1">
      <c r="A31" s="43">
        <v>19</v>
      </c>
      <c r="B31" s="51" t="s">
        <v>95</v>
      </c>
      <c r="C31" s="44" t="s">
        <v>96</v>
      </c>
      <c r="D31" s="45">
        <v>6411536</v>
      </c>
      <c r="E31" s="45">
        <v>3</v>
      </c>
      <c r="F31" s="45">
        <v>21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>
        <f t="shared" si="1"/>
        <v>0</v>
      </c>
      <c r="AM31" s="43">
        <f t="shared" si="2"/>
        <v>0</v>
      </c>
      <c r="AN31" s="43">
        <f t="shared" si="3"/>
        <v>0</v>
      </c>
      <c r="AO31" s="43">
        <f t="shared" si="4"/>
        <v>0</v>
      </c>
    </row>
    <row r="32" spans="1:41" ht="16.5" customHeight="1">
      <c r="A32" s="43">
        <v>20</v>
      </c>
      <c r="B32" s="51" t="s">
        <v>97</v>
      </c>
      <c r="C32" s="44" t="s">
        <v>98</v>
      </c>
      <c r="D32" s="45">
        <v>7181235</v>
      </c>
      <c r="E32" s="45">
        <v>4</v>
      </c>
      <c r="F32" s="45">
        <v>11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7">
        <f t="shared" si="1"/>
        <v>0</v>
      </c>
      <c r="AM32" s="43">
        <f t="shared" si="2"/>
        <v>0</v>
      </c>
      <c r="AN32" s="43">
        <f t="shared" si="3"/>
        <v>0</v>
      </c>
      <c r="AO32" s="43">
        <f t="shared" si="4"/>
        <v>0</v>
      </c>
    </row>
    <row r="33" spans="1:42" ht="16.5" customHeight="1">
      <c r="A33" s="43">
        <v>21</v>
      </c>
      <c r="B33" s="51" t="s">
        <v>99</v>
      </c>
      <c r="C33" s="44" t="s">
        <v>100</v>
      </c>
      <c r="D33" s="45"/>
      <c r="E33" s="45">
        <v>2</v>
      </c>
      <c r="F33" s="45">
        <v>21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7">
        <f t="shared" si="1"/>
        <v>0</v>
      </c>
      <c r="AM33" s="43">
        <f t="shared" si="2"/>
        <v>0</v>
      </c>
      <c r="AN33" s="43">
        <f t="shared" si="3"/>
        <v>0</v>
      </c>
      <c r="AO33" s="43">
        <f t="shared" si="4"/>
        <v>0</v>
      </c>
    </row>
    <row r="34" spans="1:42" ht="16.5" customHeight="1">
      <c r="A34" s="43">
        <v>22</v>
      </c>
      <c r="B34" s="48" t="s">
        <v>101</v>
      </c>
      <c r="C34" s="44" t="s">
        <v>102</v>
      </c>
      <c r="D34" s="45">
        <v>6469328</v>
      </c>
      <c r="E34" s="45">
        <v>7</v>
      </c>
      <c r="F34" s="45">
        <v>21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7">
        <f t="shared" si="1"/>
        <v>0</v>
      </c>
      <c r="AM34" s="43">
        <f t="shared" si="2"/>
        <v>0</v>
      </c>
      <c r="AN34" s="43">
        <f t="shared" si="3"/>
        <v>0</v>
      </c>
      <c r="AO34" s="43">
        <f t="shared" si="4"/>
        <v>0</v>
      </c>
    </row>
    <row r="35" spans="1:42" ht="16.5" customHeight="1">
      <c r="A35" s="43">
        <v>23</v>
      </c>
      <c r="B35" s="48" t="s">
        <v>103</v>
      </c>
      <c r="C35" s="44" t="s">
        <v>104</v>
      </c>
      <c r="D35" s="45">
        <v>5234919</v>
      </c>
      <c r="E35" s="45">
        <v>7</v>
      </c>
      <c r="F35" s="45">
        <v>13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7">
        <f t="shared" si="1"/>
        <v>0</v>
      </c>
      <c r="AM35" s="43">
        <f t="shared" si="2"/>
        <v>0</v>
      </c>
      <c r="AN35" s="43">
        <f t="shared" si="3"/>
        <v>0</v>
      </c>
      <c r="AO35" s="43">
        <f t="shared" si="4"/>
        <v>0</v>
      </c>
    </row>
    <row r="36" spans="1:42" ht="16.5" customHeight="1">
      <c r="A36" s="43">
        <v>24</v>
      </c>
      <c r="B36" s="48" t="s">
        <v>105</v>
      </c>
      <c r="C36" s="44" t="s">
        <v>106</v>
      </c>
      <c r="D36" s="45">
        <v>1909407</v>
      </c>
      <c r="E36" s="45">
        <v>3</v>
      </c>
      <c r="F36" s="45">
        <v>21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7">
        <f t="shared" si="1"/>
        <v>0</v>
      </c>
      <c r="AM36" s="43">
        <f t="shared" si="2"/>
        <v>0</v>
      </c>
      <c r="AN36" s="43">
        <f t="shared" si="3"/>
        <v>0</v>
      </c>
      <c r="AO36" s="43">
        <f t="shared" si="4"/>
        <v>0</v>
      </c>
    </row>
    <row r="37" spans="1:42" ht="16.5" customHeight="1">
      <c r="A37" s="43">
        <v>25</v>
      </c>
      <c r="B37" s="48" t="s">
        <v>107</v>
      </c>
      <c r="C37" s="44" t="s">
        <v>108</v>
      </c>
      <c r="D37" s="45">
        <v>6403307</v>
      </c>
      <c r="E37" s="45">
        <v>3</v>
      </c>
      <c r="F37" s="45">
        <v>21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7">
        <f t="shared" si="1"/>
        <v>0</v>
      </c>
      <c r="AM37" s="43">
        <f t="shared" si="2"/>
        <v>0</v>
      </c>
      <c r="AN37" s="43">
        <f t="shared" si="3"/>
        <v>0</v>
      </c>
      <c r="AO37" s="43">
        <f t="shared" si="4"/>
        <v>0</v>
      </c>
    </row>
    <row r="38" spans="1:42" ht="16.5" customHeight="1">
      <c r="A38" s="43">
        <v>26</v>
      </c>
      <c r="B38" s="48" t="s">
        <v>109</v>
      </c>
      <c r="C38" s="44" t="s">
        <v>110</v>
      </c>
      <c r="D38" s="45"/>
      <c r="E38" s="45">
        <v>3</v>
      </c>
      <c r="F38" s="45">
        <v>20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7">
        <f t="shared" si="1"/>
        <v>0</v>
      </c>
      <c r="AM38" s="43">
        <f t="shared" si="2"/>
        <v>0</v>
      </c>
      <c r="AN38" s="43">
        <f t="shared" si="3"/>
        <v>0</v>
      </c>
      <c r="AO38" s="43">
        <f t="shared" si="4"/>
        <v>0</v>
      </c>
    </row>
    <row r="39" spans="1:42" ht="16.5" customHeight="1">
      <c r="A39" s="43">
        <v>27</v>
      </c>
      <c r="B39" s="48" t="s">
        <v>111</v>
      </c>
      <c r="C39" s="44" t="s">
        <v>112</v>
      </c>
      <c r="D39" s="45">
        <v>6469561</v>
      </c>
      <c r="E39" s="45">
        <v>4</v>
      </c>
      <c r="F39" s="45">
        <v>15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7">
        <f t="shared" si="1"/>
        <v>0</v>
      </c>
      <c r="AM39" s="43">
        <f t="shared" si="2"/>
        <v>0</v>
      </c>
      <c r="AN39" s="43">
        <f t="shared" si="3"/>
        <v>0</v>
      </c>
      <c r="AO39" s="43">
        <f t="shared" si="4"/>
        <v>0</v>
      </c>
    </row>
    <row r="40" spans="1:42" ht="16.5" customHeight="1">
      <c r="A40" s="43">
        <v>28</v>
      </c>
      <c r="B40" s="48" t="s">
        <v>113</v>
      </c>
      <c r="C40" s="44" t="s">
        <v>114</v>
      </c>
      <c r="D40" s="45">
        <v>8326569</v>
      </c>
      <c r="E40" s="45">
        <v>4</v>
      </c>
      <c r="F40" s="45">
        <v>7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7">
        <f t="shared" si="1"/>
        <v>0</v>
      </c>
      <c r="AM40" s="43">
        <f t="shared" si="2"/>
        <v>0</v>
      </c>
      <c r="AN40" s="43">
        <f t="shared" si="3"/>
        <v>0</v>
      </c>
      <c r="AO40" s="43">
        <f t="shared" si="4"/>
        <v>0</v>
      </c>
    </row>
    <row r="41" spans="1:42" ht="16.5" customHeight="1">
      <c r="A41" s="43">
        <v>29</v>
      </c>
      <c r="B41" s="48" t="s">
        <v>115</v>
      </c>
      <c r="C41" s="44" t="s">
        <v>116</v>
      </c>
      <c r="D41" s="45">
        <v>6403196</v>
      </c>
      <c r="E41" s="45">
        <v>6</v>
      </c>
      <c r="F41" s="45">
        <v>21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7">
        <f t="shared" si="1"/>
        <v>0</v>
      </c>
      <c r="AM41" s="43">
        <f t="shared" si="2"/>
        <v>0</v>
      </c>
      <c r="AN41" s="43">
        <f t="shared" si="3"/>
        <v>0</v>
      </c>
      <c r="AO41" s="43">
        <f t="shared" si="4"/>
        <v>0</v>
      </c>
    </row>
    <row r="42" spans="1:42" ht="16.5" customHeight="1">
      <c r="A42" s="43">
        <v>30</v>
      </c>
      <c r="B42" s="48"/>
      <c r="C42" s="44"/>
      <c r="D42" s="45"/>
      <c r="E42" s="45"/>
      <c r="F42" s="45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7">
        <f t="shared" ref="AL42" si="5">SUM(G42:AK42)</f>
        <v>0</v>
      </c>
      <c r="AM42" s="43">
        <f t="shared" ref="AM42" si="6">COUNTIFS(G42:AJ42, "NS")</f>
        <v>0</v>
      </c>
      <c r="AN42" s="43">
        <f t="shared" ref="AN42" si="7">COUNTIF(G42:AJ42, "C")</f>
        <v>0</v>
      </c>
      <c r="AO42" s="43">
        <f t="shared" ref="AO42" si="8">COUNTIF(H42:AK42, "X")</f>
        <v>0</v>
      </c>
    </row>
    <row r="43" spans="1:42" ht="16.5" customHeight="1">
      <c r="B43" s="49"/>
      <c r="C43" s="49"/>
      <c r="D43" s="49"/>
      <c r="E43" s="49"/>
      <c r="F43" s="49"/>
      <c r="G43" s="50">
        <f>SUM(G13:G42)</f>
        <v>0</v>
      </c>
      <c r="H43" s="50">
        <f t="shared" ref="H43:AN43" si="9">SUM(H13:H42)</f>
        <v>0</v>
      </c>
      <c r="I43" s="50">
        <f t="shared" si="9"/>
        <v>0</v>
      </c>
      <c r="J43" s="50">
        <f t="shared" si="9"/>
        <v>0</v>
      </c>
      <c r="K43" s="50">
        <f t="shared" si="9"/>
        <v>0</v>
      </c>
      <c r="L43" s="50">
        <f t="shared" si="9"/>
        <v>0</v>
      </c>
      <c r="M43" s="50">
        <f t="shared" si="9"/>
        <v>0</v>
      </c>
      <c r="N43" s="50">
        <f t="shared" si="9"/>
        <v>0</v>
      </c>
      <c r="O43" s="50">
        <f t="shared" si="9"/>
        <v>0</v>
      </c>
      <c r="P43" s="50">
        <f t="shared" si="9"/>
        <v>0</v>
      </c>
      <c r="Q43" s="50">
        <f t="shared" si="9"/>
        <v>0</v>
      </c>
      <c r="R43" s="50">
        <f t="shared" si="9"/>
        <v>0</v>
      </c>
      <c r="S43" s="50">
        <f t="shared" si="9"/>
        <v>0</v>
      </c>
      <c r="T43" s="50">
        <f t="shared" si="9"/>
        <v>0</v>
      </c>
      <c r="U43" s="50">
        <f t="shared" si="9"/>
        <v>0</v>
      </c>
      <c r="V43" s="50">
        <f t="shared" si="9"/>
        <v>0</v>
      </c>
      <c r="W43" s="50">
        <f t="shared" si="9"/>
        <v>0</v>
      </c>
      <c r="X43" s="50">
        <f t="shared" si="9"/>
        <v>0</v>
      </c>
      <c r="Y43" s="50">
        <f t="shared" si="9"/>
        <v>0</v>
      </c>
      <c r="Z43" s="50">
        <f t="shared" si="9"/>
        <v>0</v>
      </c>
      <c r="AA43" s="50">
        <f t="shared" si="9"/>
        <v>0</v>
      </c>
      <c r="AB43" s="50">
        <f t="shared" si="9"/>
        <v>0</v>
      </c>
      <c r="AC43" s="50">
        <f t="shared" si="9"/>
        <v>0</v>
      </c>
      <c r="AD43" s="50">
        <f t="shared" si="9"/>
        <v>0</v>
      </c>
      <c r="AE43" s="50">
        <f t="shared" si="9"/>
        <v>0</v>
      </c>
      <c r="AF43" s="50">
        <f t="shared" si="9"/>
        <v>0</v>
      </c>
      <c r="AG43" s="50">
        <f t="shared" si="9"/>
        <v>0</v>
      </c>
      <c r="AH43" s="50">
        <f t="shared" si="9"/>
        <v>0</v>
      </c>
      <c r="AI43" s="50">
        <f t="shared" si="9"/>
        <v>0</v>
      </c>
      <c r="AJ43" s="50">
        <f t="shared" si="9"/>
        <v>0</v>
      </c>
      <c r="AK43" s="50">
        <f t="shared" si="9"/>
        <v>0</v>
      </c>
      <c r="AL43" s="50">
        <f t="shared" si="9"/>
        <v>0</v>
      </c>
      <c r="AM43" s="50">
        <f t="shared" si="9"/>
        <v>0</v>
      </c>
      <c r="AN43" s="50">
        <f t="shared" si="9"/>
        <v>0</v>
      </c>
      <c r="AO43" s="50">
        <f>SUM(AO13:AO42)</f>
        <v>0</v>
      </c>
      <c r="AP43" s="50"/>
    </row>
    <row r="44" spans="1:42" ht="12.75" customHeight="1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spans="1:42" ht="12.75" customHeight="1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</row>
    <row r="46" spans="1:42" ht="12.75" customHeight="1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</row>
    <row r="47" spans="1:42" ht="12.75" customHeight="1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</row>
    <row r="48" spans="1:42" ht="12.75" customHeight="1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</row>
    <row r="49" spans="2:38" ht="12.75" customHeight="1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</row>
    <row r="50" spans="2:38" ht="12.75" customHeight="1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</row>
    <row r="51" spans="2:38" ht="12.75" customHeight="1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</row>
    <row r="52" spans="2:38" ht="12.75" customHeight="1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</row>
    <row r="53" spans="2:38" ht="12.75" customHeight="1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</row>
    <row r="54" spans="2:38" ht="12.75" customHeight="1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spans="2:38" ht="12.75" customHeight="1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spans="2:38" ht="12.75" customHeight="1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</row>
    <row r="57" spans="2:38" ht="12.75" customHeight="1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</row>
    <row r="58" spans="2:38" ht="12.75" customHeight="1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</row>
    <row r="59" spans="2:38" ht="12.75" customHeight="1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</row>
    <row r="60" spans="2:38" ht="12.75" customHeight="1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</row>
    <row r="61" spans="2:38" ht="12.75" customHeight="1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</row>
    <row r="62" spans="2:38" ht="12.75" customHeight="1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</row>
    <row r="63" spans="2:38" ht="12.75" customHeight="1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</row>
    <row r="64" spans="2:38" ht="12.75" customHeight="1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</row>
    <row r="65" spans="2:38" ht="12.75" customHeight="1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</row>
    <row r="66" spans="2:38" ht="12.75" customHeight="1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</row>
    <row r="67" spans="2:38" ht="12.75" customHeight="1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</row>
    <row r="68" spans="2:38" ht="12.75" customHeight="1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</row>
    <row r="69" spans="2:38" ht="12.75" customHeight="1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</row>
    <row r="70" spans="2:38" ht="12.75" customHeight="1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</row>
    <row r="71" spans="2:38" ht="12.75" customHeight="1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</row>
    <row r="72" spans="2:38" ht="12.75" customHeight="1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</row>
    <row r="73" spans="2:38" ht="12.75" customHeight="1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</row>
    <row r="74" spans="2:38" ht="12.75" customHeight="1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</row>
    <row r="75" spans="2:38" ht="12.75" customHeight="1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spans="2:38" ht="12.75" customHeight="1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spans="2:38" ht="12.75" customHeight="1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spans="2:38" ht="12.75" customHeight="1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spans="2:38" ht="12.75" customHeight="1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spans="2:38" ht="12.75" customHeight="1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</row>
    <row r="81" spans="2:38" ht="12.75" customHeight="1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</row>
    <row r="82" spans="2:38" ht="12.75" customHeight="1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spans="2:38" ht="12.75" customHeight="1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</row>
    <row r="84" spans="2:38" ht="12.75" customHeight="1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spans="2:38" ht="12.75" customHeight="1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spans="2:38" ht="12.75" customHeight="1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spans="2:38" ht="12.75" customHeight="1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spans="2:38" ht="12.75" customHeight="1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spans="2:38" ht="12.75" customHeight="1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spans="2:38" ht="12.75" customHeight="1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spans="2:38" ht="12.75" customHeight="1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spans="2:38" ht="12.75" customHeight="1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spans="2:38" ht="12.75" customHeight="1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spans="2:38" ht="12.75" customHeight="1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spans="2:38" ht="12.75" customHeight="1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spans="2:38" ht="12.75" customHeight="1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spans="2:38" ht="12.75" customHeight="1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spans="2:38" ht="12.75" customHeight="1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spans="2:38" ht="12.75" customHeight="1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spans="2:38" ht="12.75" customHeight="1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spans="2:38" ht="12.75" customHeight="1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spans="2:38" ht="12.75" customHeight="1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spans="2:38" ht="12.75" customHeight="1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spans="2:38" ht="12.75" customHeight="1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spans="2:38" ht="12.75" customHeight="1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spans="2:38" ht="12.75" customHeight="1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spans="2:38" ht="12.75" customHeight="1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spans="2:38" ht="12.75" customHeight="1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spans="2:38" ht="12.75" customHeight="1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spans="2:38" ht="12.75" customHeight="1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spans="2:38" ht="12.75" customHeight="1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spans="2:38" ht="12.75" customHeight="1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spans="2:38" ht="12.75" customHeight="1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spans="2:38" ht="12.75" customHeight="1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spans="2:38" ht="12.75" customHeight="1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spans="2:38" ht="12.75" customHeight="1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spans="2:38" ht="12.75" customHeight="1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spans="2:38" ht="12.75" customHeight="1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spans="2:38" ht="12.75" customHeight="1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spans="2:38" ht="12.75" customHeight="1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spans="2:38" ht="12.75" customHeight="1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spans="2:38" ht="12.75" customHeight="1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spans="2:38" ht="12.75" customHeight="1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spans="2:38" ht="12.75" customHeight="1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spans="2:38" ht="12.75" customHeight="1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spans="2:38" ht="12.75" customHeight="1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spans="2:38" ht="12.75" customHeight="1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spans="2:38" ht="12.75" customHeight="1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spans="2:38" ht="12.75" customHeight="1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spans="2:38" ht="12.75" customHeight="1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spans="2:38" ht="12.75" customHeight="1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spans="2:38" ht="12.75" customHeight="1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spans="2:38" ht="12.75" customHeight="1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spans="2:38" ht="12.75" customHeight="1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spans="2:38" ht="12.75" customHeight="1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spans="2:38" ht="12.75" customHeight="1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spans="2:38" ht="12.75" customHeight="1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spans="2:38" ht="12.75" customHeight="1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spans="2:38" ht="12.75" customHeight="1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2:38" ht="12.75" customHeight="1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2:38" ht="12.75" customHeight="1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2:38" ht="12.75" customHeight="1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2:38" ht="12.75" customHeight="1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spans="2:38" ht="12.75" customHeight="1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spans="2:38" ht="12.75" customHeight="1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spans="2:38" ht="12.75" customHeight="1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spans="2:38" ht="12.75" customHeight="1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spans="2:38" ht="12.75" customHeight="1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spans="2:38" ht="12.75" customHeight="1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spans="2:38" ht="12.75" customHeight="1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spans="2:38" ht="12.75" customHeight="1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spans="2:38" ht="12.75" customHeight="1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spans="2:38" ht="12.75" customHeight="1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spans="2:38" ht="12.75" customHeight="1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spans="2:38" ht="12.75" customHeight="1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spans="2:38" ht="12.75" customHeight="1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spans="2:38" ht="12.75" customHeight="1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spans="2:38" ht="12.75" customHeight="1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spans="2:38" ht="12.75" customHeight="1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spans="2:38" ht="12.75" customHeight="1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spans="2:38" ht="12.75" customHeight="1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spans="2:38" ht="12.75" customHeight="1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spans="2:38" ht="12.75" customHeight="1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spans="2:38" ht="12.75" customHeight="1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spans="2:38" ht="12.75" customHeight="1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spans="2:38" ht="12.75" customHeight="1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spans="2:38" ht="12.75" customHeight="1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spans="2:38" ht="12.75" customHeight="1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spans="2:38" ht="12.75" customHeight="1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spans="2:38" ht="12.75" customHeight="1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spans="2:38" ht="12.75" customHeight="1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spans="2:38" ht="12.75" customHeight="1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spans="2:38" ht="12.75" customHeight="1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spans="2:38" ht="12.75" customHeight="1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spans="2:38" ht="12.75" customHeight="1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spans="2:38" ht="12.75" customHeight="1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spans="2:38" ht="12.75" customHeight="1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spans="2:38" ht="12.75" customHeight="1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spans="2:38" ht="12.75" customHeight="1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spans="2:38" ht="12.75" customHeight="1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spans="2:38" ht="12.75" customHeight="1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spans="2:38" ht="12.75" customHeight="1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spans="2:38" ht="12.75" customHeight="1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spans="2:38" ht="12.75" customHeight="1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spans="2:38" ht="12.75" customHeight="1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spans="2:38" ht="12.75" customHeight="1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spans="2:38" ht="12.75" customHeight="1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spans="2:38" ht="12.75" customHeight="1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spans="2:38" ht="12.75" customHeight="1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spans="2:38" ht="12.75" customHeight="1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spans="2:38" ht="12.75" customHeight="1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spans="2:38" ht="12.75" customHeight="1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spans="2:38" ht="12.75" customHeight="1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spans="2:38" ht="12.75" customHeight="1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spans="2:38" ht="12.75" customHeight="1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spans="2:38" ht="12.75" customHeight="1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spans="2:38" ht="12.75" customHeight="1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spans="2:38" ht="12.75" customHeight="1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spans="2:38" ht="12.75" customHeight="1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spans="2:38" ht="12.75" customHeight="1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spans="2:38" ht="12.75" customHeight="1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spans="2:38" ht="12.75" customHeight="1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spans="2:38" ht="12.75" customHeight="1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spans="2:38" ht="12.75" customHeight="1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spans="2:38" ht="12.75" customHeight="1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spans="2:38" ht="12.75" customHeight="1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spans="2:38" ht="12.75" customHeight="1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spans="2:38" ht="12.75" customHeight="1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spans="2:38" ht="12.75" customHeight="1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spans="2:38" ht="12.75" customHeight="1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spans="2:38" ht="12.75" customHeight="1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spans="2:38" ht="12.75" customHeight="1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spans="2:38" ht="12.75" customHeight="1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spans="2:38" ht="12.75" customHeight="1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spans="2:38" ht="12.75" customHeight="1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spans="2:38" ht="12.75" customHeight="1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spans="2:38" ht="12.75" customHeight="1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spans="2:38" ht="12.75" customHeight="1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spans="2:38" ht="12.75" customHeight="1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spans="2:38" ht="12.75" customHeight="1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spans="2:38" ht="12.75" customHeight="1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spans="2:38" ht="12.75" customHeight="1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spans="2:38" ht="12.75" customHeight="1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spans="2:38" ht="12.75" customHeight="1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spans="2:38" ht="12.75" customHeight="1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spans="2:38" ht="12.75" customHeight="1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spans="2:38" ht="12.75" customHeight="1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spans="2:38" ht="12.75" customHeight="1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spans="2:38" ht="12.75" customHeight="1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spans="2:38" ht="12.75" customHeight="1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spans="2:38" ht="12.75" customHeight="1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spans="2:38" ht="12.75" customHeight="1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spans="2:38" ht="12.75" customHeight="1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spans="2:38" ht="12.75" customHeight="1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spans="2:38" ht="15.75" customHeight="1"/>
    <row r="236" spans="2:38" ht="15.75" customHeight="1"/>
    <row r="237" spans="2:38" ht="15.75" customHeight="1"/>
    <row r="238" spans="2:38" ht="15.75" customHeight="1"/>
    <row r="239" spans="2:38" ht="15.75" customHeight="1"/>
    <row r="240" spans="2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6">
    <mergeCell ref="G7:H7"/>
    <mergeCell ref="A2:C2"/>
    <mergeCell ref="D2:L2"/>
    <mergeCell ref="A3:V3"/>
    <mergeCell ref="G4:H4"/>
    <mergeCell ref="G5:H5"/>
  </mergeCells>
  <conditionalFormatting sqref="A2">
    <cfRule type="expression" dxfId="2" priority="1" stopIfTrue="1">
      <formula>DAY(A2)&lt;&gt;1</formula>
    </cfRule>
  </conditionalFormatting>
  <conditionalFormatting sqref="G12:AK42">
    <cfRule type="expression" dxfId="1" priority="2" stopIfTrue="1">
      <formula>OR(WEEKDAY(G$12)=7,WEEKDAY(G$12)=1)</formula>
    </cfRule>
    <cfRule type="expression" dxfId="0" priority="3" stopIfTrue="1">
      <formula>ISERROR(VALUE(G$12))</formula>
    </cfRule>
  </conditionalFormatting>
  <printOptions horizontalCentered="1"/>
  <pageMargins left="0.25" right="0.25" top="0.25" bottom="0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b0a1ce-1c81-46e8-97a2-9f0ac847972a" xsi:nil="true"/>
    <lcf76f155ced4ddcb4097134ff3c332f xmlns="826e09f7-3049-4164-bdc6-f4e7f7dc287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B049095F7694682DDBF9FBAED7D91" ma:contentTypeVersion="16" ma:contentTypeDescription="Create a new document." ma:contentTypeScope="" ma:versionID="a1f30547de949114079c301e84c66fda">
  <xsd:schema xmlns:xsd="http://www.w3.org/2001/XMLSchema" xmlns:xs="http://www.w3.org/2001/XMLSchema" xmlns:p="http://schemas.microsoft.com/office/2006/metadata/properties" xmlns:ns2="13b0a1ce-1c81-46e8-97a2-9f0ac847972a" xmlns:ns3="826e09f7-3049-4164-bdc6-f4e7f7dc287c" targetNamespace="http://schemas.microsoft.com/office/2006/metadata/properties" ma:root="true" ma:fieldsID="1caf14c1b4d06347320af337cf286c36" ns2:_="" ns3:_="">
    <xsd:import namespace="13b0a1ce-1c81-46e8-97a2-9f0ac847972a"/>
    <xsd:import namespace="826e09f7-3049-4164-bdc6-f4e7f7dc287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0a1ce-1c81-46e8-97a2-9f0ac847972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d7b3198-8c02-462e-9858-3891aab846ab}" ma:internalName="TaxCatchAll" ma:showField="CatchAllData" ma:web="13b0a1ce-1c81-46e8-97a2-9f0ac84797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e09f7-3049-4164-bdc6-f4e7f7dc28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d969373-fda0-4e9a-89ad-3de7a20ab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0520C1-CCA6-46AE-BF2E-F053655868E3}"/>
</file>

<file path=customXml/itemProps2.xml><?xml version="1.0" encoding="utf-8"?>
<ds:datastoreItem xmlns:ds="http://schemas.openxmlformats.org/officeDocument/2006/customXml" ds:itemID="{109CA672-F104-4387-A5E1-7D498431356C}"/>
</file>

<file path=customXml/itemProps3.xml><?xml version="1.0" encoding="utf-8"?>
<ds:datastoreItem xmlns:ds="http://schemas.openxmlformats.org/officeDocument/2006/customXml" ds:itemID="{DD4752D8-2FC6-41A4-8A29-EA9D03049E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Brianna Berry</dc:creator>
  <cp:keywords/>
  <dc:description/>
  <cp:lastModifiedBy>Hanif khan</cp:lastModifiedBy>
  <cp:revision/>
  <dcterms:created xsi:type="dcterms:W3CDTF">2024-01-30T18:28:55Z</dcterms:created>
  <dcterms:modified xsi:type="dcterms:W3CDTF">2026-03-18T15:50:03Z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0x010100A3FB049095F7694682DDBF9FBAED7D91</vt:lpwstr>
  </property>
</Properties>
</file>